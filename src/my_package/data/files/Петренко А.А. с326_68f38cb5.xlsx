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ЛабРаб\3 курс\Лабораторные\МДК 02.03\"/>
    </mc:Choice>
  </mc:AlternateContent>
  <xr:revisionPtr revIDLastSave="0" documentId="13_ncr:1_{0666CE71-300D-487E-BAB6-C81187E29E59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Лр1" sheetId="1" r:id="rId1"/>
    <sheet name="Лр2" sheetId="2" r:id="rId2"/>
    <sheet name="Лр3" sheetId="3" r:id="rId3"/>
    <sheet name="Лр4.1" sheetId="4" r:id="rId4"/>
    <sheet name="Лр4.2" sheetId="5" r:id="rId5"/>
    <sheet name="Лр5.1" sheetId="6" r:id="rId6"/>
    <sheet name="Лр5.2" sheetId="7" r:id="rId7"/>
  </sheets>
  <definedNames>
    <definedName name="solver_adj" localSheetId="0" hidden="1">Лр1!$D$18:$E$18</definedName>
    <definedName name="solver_adj" localSheetId="3" hidden="1">'Лр4.1'!$AC$4:$AD$4</definedName>
    <definedName name="solver_adj" localSheetId="4" hidden="1">'Лр4.2'!$N$5:$O$5</definedName>
    <definedName name="solver_cvg" localSheetId="0" hidden="1">0.0001</definedName>
    <definedName name="solver_cvg" localSheetId="3" hidden="1">0.0001</definedName>
    <definedName name="solver_cvg" localSheetId="4" hidden="1">0.0001</definedName>
    <definedName name="solver_drv" localSheetId="0" hidden="1">2</definedName>
    <definedName name="solver_drv" localSheetId="3" hidden="1">2</definedName>
    <definedName name="solver_drv" localSheetId="4" hidden="1">1</definedName>
    <definedName name="solver_eng" localSheetId="0" hidden="1">2</definedName>
    <definedName name="solver_eng" localSheetId="3" hidden="1">1</definedName>
    <definedName name="solver_eng" localSheetId="4" hidden="1">1</definedName>
    <definedName name="solver_est" localSheetId="0" hidden="1">1</definedName>
    <definedName name="solver_est" localSheetId="3" hidden="1">1</definedName>
    <definedName name="solver_est" localSheetId="4" hidden="1">1</definedName>
    <definedName name="solver_itr" localSheetId="0" hidden="1">2147483647</definedName>
    <definedName name="solver_itr" localSheetId="3" hidden="1">2147483647</definedName>
    <definedName name="solver_itr" localSheetId="4" hidden="1">2147483647</definedName>
    <definedName name="solver_lhs1" localSheetId="0" hidden="1">Лр1!$D$18</definedName>
    <definedName name="solver_lhs1" localSheetId="3" hidden="1">'Лр4.1'!$AC$4</definedName>
    <definedName name="solver_lhs1" localSheetId="4" hidden="1">'Лр4.2'!$Q$5</definedName>
    <definedName name="solver_lhs2" localSheetId="0" hidden="1">Лр1!$E$18</definedName>
    <definedName name="solver_lhs2" localSheetId="3" hidden="1">'Лр4.1'!$AD$4</definedName>
    <definedName name="solver_lhs3" localSheetId="0" hidden="1">Лр1!$F$21</definedName>
    <definedName name="solver_lhs3" localSheetId="3" hidden="1">'Лр4.1'!$AF$4</definedName>
    <definedName name="solver_lhs4" localSheetId="0" hidden="1">Лр1!$F$22</definedName>
    <definedName name="solver_lhs5" localSheetId="0" hidden="1">Лр1!$F$23</definedName>
    <definedName name="solver_mip" localSheetId="0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3" hidden="1">2147483647</definedName>
    <definedName name="solver_nod" localSheetId="4" hidden="1">2147483647</definedName>
    <definedName name="solver_num" localSheetId="0" hidden="1">5</definedName>
    <definedName name="solver_num" localSheetId="3" hidden="1">3</definedName>
    <definedName name="solver_num" localSheetId="4" hidden="1">1</definedName>
    <definedName name="solver_nwt" localSheetId="0" hidden="1">1</definedName>
    <definedName name="solver_nwt" localSheetId="3" hidden="1">1</definedName>
    <definedName name="solver_nwt" localSheetId="4" hidden="1">1</definedName>
    <definedName name="solver_opt" localSheetId="0" hidden="1">Лр1!$G$18</definedName>
    <definedName name="solver_opt" localSheetId="3" hidden="1">'Лр4.1'!$AE$4</definedName>
    <definedName name="solver_opt" localSheetId="4" hidden="1">'Лр4.2'!$P$5</definedName>
    <definedName name="solver_pre" localSheetId="0" hidden="1">0.000001</definedName>
    <definedName name="solver_pre" localSheetId="3" hidden="1">0.000001</definedName>
    <definedName name="solver_pre" localSheetId="4" hidden="1">0.000001</definedName>
    <definedName name="solver_rbv" localSheetId="0" hidden="1">2</definedName>
    <definedName name="solver_rbv" localSheetId="3" hidden="1">2</definedName>
    <definedName name="solver_rbv" localSheetId="4" hidden="1">1</definedName>
    <definedName name="solver_rel1" localSheetId="0" hidden="1">3</definedName>
    <definedName name="solver_rel1" localSheetId="3" hidden="1">3</definedName>
    <definedName name="solver_rel1" localSheetId="4" hidden="1">2</definedName>
    <definedName name="solver_rel2" localSheetId="0" hidden="1">3</definedName>
    <definedName name="solver_rel2" localSheetId="3" hidden="1">3</definedName>
    <definedName name="solver_rel3" localSheetId="0" hidden="1">1</definedName>
    <definedName name="solver_rel3" localSheetId="3" hidden="1">1</definedName>
    <definedName name="solver_rel4" localSheetId="0" hidden="1">1</definedName>
    <definedName name="solver_rel5" localSheetId="0" hidden="1">1</definedName>
    <definedName name="solver_rhs1" localSheetId="0" hidden="1">0</definedName>
    <definedName name="solver_rhs1" localSheetId="3" hidden="1">0</definedName>
    <definedName name="solver_rhs1" localSheetId="4" hidden="1">3</definedName>
    <definedName name="solver_rhs2" localSheetId="0" hidden="1">0</definedName>
    <definedName name="solver_rhs2" localSheetId="3" hidden="1">0</definedName>
    <definedName name="solver_rhs3" localSheetId="0" hidden="1">Лр1!$G$21</definedName>
    <definedName name="solver_rhs3" localSheetId="3" hidden="1">3</definedName>
    <definedName name="solver_rhs4" localSheetId="0" hidden="1">Лр1!$G$22</definedName>
    <definedName name="solver_rhs5" localSheetId="0" hidden="1">Лр1!$G$23</definedName>
    <definedName name="solver_rlx" localSheetId="0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3" hidden="1">0</definedName>
    <definedName name="solver_rsd" localSheetId="4" hidden="1">0</definedName>
    <definedName name="solver_scl" localSheetId="0" hidden="1">2</definedName>
    <definedName name="solver_scl" localSheetId="3" hidden="1">2</definedName>
    <definedName name="solver_scl" localSheetId="4" hidden="1">1</definedName>
    <definedName name="solver_sho" localSheetId="0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0.01</definedName>
    <definedName name="solver_tol" localSheetId="3" hidden="1">0.01</definedName>
    <definedName name="solver_tol" localSheetId="4" hidden="1">0.01</definedName>
    <definedName name="solver_typ" localSheetId="0" hidden="1">1</definedName>
    <definedName name="solver_typ" localSheetId="3" hidden="1">2</definedName>
    <definedName name="solver_typ" localSheetId="4" hidden="1">2</definedName>
    <definedName name="solver_val" localSheetId="0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3" hidden="1">3</definedName>
    <definedName name="solver_ver" localSheetId="4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2" i="6" l="1"/>
  <c r="B29" i="6"/>
  <c r="H28" i="6" s="1"/>
  <c r="C29" i="6"/>
  <c r="D29" i="6"/>
  <c r="E29" i="6"/>
  <c r="F29" i="6"/>
  <c r="G29" i="6"/>
  <c r="B30" i="6"/>
  <c r="H29" i="6" s="1"/>
  <c r="C30" i="6"/>
  <c r="I29" i="6" s="1"/>
  <c r="D30" i="6"/>
  <c r="J29" i="6" s="1"/>
  <c r="E30" i="6"/>
  <c r="K29" i="6" s="1"/>
  <c r="F30" i="6"/>
  <c r="G30" i="6"/>
  <c r="B31" i="6"/>
  <c r="H30" i="6" s="1"/>
  <c r="C31" i="6"/>
  <c r="I30" i="6" s="1"/>
  <c r="D31" i="6"/>
  <c r="J30" i="6" s="1"/>
  <c r="E31" i="6"/>
  <c r="K30" i="6" s="1"/>
  <c r="F31" i="6"/>
  <c r="G31" i="6"/>
  <c r="B32" i="6"/>
  <c r="H31" i="6" s="1"/>
  <c r="C32" i="6"/>
  <c r="I31" i="6" s="1"/>
  <c r="D32" i="6"/>
  <c r="J31" i="6" s="1"/>
  <c r="E32" i="6"/>
  <c r="K31" i="6" s="1"/>
  <c r="F32" i="6"/>
  <c r="G32" i="6"/>
  <c r="B33" i="6"/>
  <c r="H32" i="6" s="1"/>
  <c r="C33" i="6"/>
  <c r="I32" i="6" s="1"/>
  <c r="D33" i="6"/>
  <c r="J32" i="6" s="1"/>
  <c r="E33" i="6"/>
  <c r="K32" i="6" s="1"/>
  <c r="F33" i="6"/>
  <c r="G33" i="6"/>
  <c r="B34" i="6"/>
  <c r="H33" i="6" s="1"/>
  <c r="C34" i="6"/>
  <c r="I33" i="6" s="1"/>
  <c r="D34" i="6"/>
  <c r="J33" i="6" s="1"/>
  <c r="E34" i="6"/>
  <c r="K33" i="6" s="1"/>
  <c r="F34" i="6"/>
  <c r="G34" i="6"/>
  <c r="B35" i="6"/>
  <c r="H34" i="6" s="1"/>
  <c r="C35" i="6"/>
  <c r="I34" i="6" s="1"/>
  <c r="D35" i="6"/>
  <c r="J34" i="6" s="1"/>
  <c r="E35" i="6"/>
  <c r="K34" i="6" s="1"/>
  <c r="F35" i="6"/>
  <c r="G35" i="6"/>
  <c r="B36" i="6"/>
  <c r="H35" i="6" s="1"/>
  <c r="C36" i="6"/>
  <c r="I35" i="6" s="1"/>
  <c r="D36" i="6"/>
  <c r="J35" i="6" s="1"/>
  <c r="E36" i="6"/>
  <c r="K35" i="6" s="1"/>
  <c r="F36" i="6"/>
  <c r="G36" i="6"/>
  <c r="B37" i="6"/>
  <c r="H36" i="6" s="1"/>
  <c r="C37" i="6"/>
  <c r="I36" i="6" s="1"/>
  <c r="D37" i="6"/>
  <c r="J36" i="6" s="1"/>
  <c r="E37" i="6"/>
  <c r="K36" i="6" s="1"/>
  <c r="F37" i="6"/>
  <c r="G37" i="6"/>
  <c r="B38" i="6"/>
  <c r="H37" i="6" s="1"/>
  <c r="C38" i="6"/>
  <c r="I37" i="6" s="1"/>
  <c r="D38" i="6"/>
  <c r="J37" i="6" s="1"/>
  <c r="E38" i="6"/>
  <c r="K37" i="6" s="1"/>
  <c r="F38" i="6"/>
  <c r="G38" i="6"/>
  <c r="B39" i="6"/>
  <c r="H38" i="6" s="1"/>
  <c r="C39" i="6"/>
  <c r="I38" i="6" s="1"/>
  <c r="D39" i="6"/>
  <c r="J38" i="6" s="1"/>
  <c r="E39" i="6"/>
  <c r="K38" i="6" s="1"/>
  <c r="F39" i="6"/>
  <c r="G39" i="6"/>
  <c r="B40" i="6"/>
  <c r="H39" i="6" s="1"/>
  <c r="C40" i="6"/>
  <c r="I39" i="6" s="1"/>
  <c r="D40" i="6"/>
  <c r="J39" i="6" s="1"/>
  <c r="E40" i="6"/>
  <c r="K39" i="6" s="1"/>
  <c r="F40" i="6"/>
  <c r="G40" i="6"/>
  <c r="B41" i="6"/>
  <c r="H40" i="6" s="1"/>
  <c r="C41" i="6"/>
  <c r="I40" i="6" s="1"/>
  <c r="D41" i="6"/>
  <c r="J40" i="6" s="1"/>
  <c r="E41" i="6"/>
  <c r="K40" i="6" s="1"/>
  <c r="F41" i="6"/>
  <c r="G41" i="6"/>
  <c r="B42" i="6"/>
  <c r="H41" i="6" s="1"/>
  <c r="C42" i="6"/>
  <c r="I41" i="6" s="1"/>
  <c r="D42" i="6"/>
  <c r="J41" i="6" s="1"/>
  <c r="E42" i="6"/>
  <c r="K41" i="6" s="1"/>
  <c r="F42" i="6"/>
  <c r="G42" i="6"/>
  <c r="B43" i="6"/>
  <c r="H42" i="6" s="1"/>
  <c r="C43" i="6"/>
  <c r="I42" i="6" s="1"/>
  <c r="D43" i="6"/>
  <c r="J42" i="6" s="1"/>
  <c r="E43" i="6"/>
  <c r="K42" i="6" s="1"/>
  <c r="F43" i="6"/>
  <c r="G43" i="6"/>
  <c r="B44" i="6"/>
  <c r="H43" i="6" s="1"/>
  <c r="C44" i="6"/>
  <c r="I43" i="6" s="1"/>
  <c r="D44" i="6"/>
  <c r="J43" i="6" s="1"/>
  <c r="E44" i="6"/>
  <c r="K43" i="6" s="1"/>
  <c r="F44" i="6"/>
  <c r="G44" i="6"/>
  <c r="B45" i="6"/>
  <c r="H44" i="6" s="1"/>
  <c r="C45" i="6"/>
  <c r="I44" i="6" s="1"/>
  <c r="D45" i="6"/>
  <c r="J44" i="6" s="1"/>
  <c r="E45" i="6"/>
  <c r="K44" i="6" s="1"/>
  <c r="F45" i="6"/>
  <c r="G45" i="6"/>
  <c r="B46" i="6"/>
  <c r="H45" i="6" s="1"/>
  <c r="C46" i="6"/>
  <c r="I45" i="6" s="1"/>
  <c r="D46" i="6"/>
  <c r="J45" i="6" s="1"/>
  <c r="E46" i="6"/>
  <c r="K45" i="6" s="1"/>
  <c r="F46" i="6"/>
  <c r="G46" i="6"/>
  <c r="B47" i="6"/>
  <c r="H46" i="6" s="1"/>
  <c r="C47" i="6"/>
  <c r="I46" i="6" s="1"/>
  <c r="D47" i="6"/>
  <c r="J46" i="6" s="1"/>
  <c r="E47" i="6"/>
  <c r="K46" i="6" s="1"/>
  <c r="F47" i="6"/>
  <c r="G47" i="6"/>
  <c r="B48" i="6"/>
  <c r="H47" i="6" s="1"/>
  <c r="C48" i="6"/>
  <c r="I47" i="6" s="1"/>
  <c r="D48" i="6"/>
  <c r="J47" i="6" s="1"/>
  <c r="E48" i="6"/>
  <c r="K47" i="6" s="1"/>
  <c r="F48" i="6"/>
  <c r="G48" i="6"/>
  <c r="B49" i="6"/>
  <c r="H48" i="6" s="1"/>
  <c r="C49" i="6"/>
  <c r="I48" i="6" s="1"/>
  <c r="D49" i="6"/>
  <c r="J48" i="6" s="1"/>
  <c r="E49" i="6"/>
  <c r="K48" i="6" s="1"/>
  <c r="F49" i="6"/>
  <c r="G49" i="6"/>
  <c r="B50" i="6"/>
  <c r="H49" i="6" s="1"/>
  <c r="C50" i="6"/>
  <c r="I49" i="6" s="1"/>
  <c r="D50" i="6"/>
  <c r="J49" i="6" s="1"/>
  <c r="E50" i="6"/>
  <c r="K49" i="6" s="1"/>
  <c r="F50" i="6"/>
  <c r="G50" i="6"/>
  <c r="B51" i="6"/>
  <c r="H50" i="6" s="1"/>
  <c r="C51" i="6"/>
  <c r="I50" i="6" s="1"/>
  <c r="D51" i="6"/>
  <c r="J50" i="6" s="1"/>
  <c r="E51" i="6"/>
  <c r="K50" i="6" s="1"/>
  <c r="F51" i="6"/>
  <c r="G51" i="6"/>
  <c r="B52" i="6"/>
  <c r="H51" i="6" s="1"/>
  <c r="C52" i="6"/>
  <c r="I51" i="6" s="1"/>
  <c r="D52" i="6"/>
  <c r="J51" i="6" s="1"/>
  <c r="E52" i="6"/>
  <c r="K51" i="6" s="1"/>
  <c r="F52" i="6"/>
  <c r="G52" i="6"/>
  <c r="B53" i="6"/>
  <c r="H52" i="6" s="1"/>
  <c r="C53" i="6"/>
  <c r="I52" i="6" s="1"/>
  <c r="D53" i="6"/>
  <c r="J52" i="6" s="1"/>
  <c r="E53" i="6"/>
  <c r="K52" i="6" s="1"/>
  <c r="F53" i="6"/>
  <c r="G53" i="6"/>
  <c r="B54" i="6"/>
  <c r="H53" i="6" s="1"/>
  <c r="C54" i="6"/>
  <c r="I53" i="6" s="1"/>
  <c r="D54" i="6"/>
  <c r="J53" i="6" s="1"/>
  <c r="E54" i="6"/>
  <c r="K53" i="6" s="1"/>
  <c r="F54" i="6"/>
  <c r="G54" i="6"/>
  <c r="B55" i="6"/>
  <c r="H54" i="6" s="1"/>
  <c r="C55" i="6"/>
  <c r="I54" i="6" s="1"/>
  <c r="D55" i="6"/>
  <c r="J54" i="6" s="1"/>
  <c r="E55" i="6"/>
  <c r="K54" i="6" s="1"/>
  <c r="F55" i="6"/>
  <c r="G55" i="6"/>
  <c r="B56" i="6"/>
  <c r="H55" i="6" s="1"/>
  <c r="C56" i="6"/>
  <c r="I55" i="6" s="1"/>
  <c r="D56" i="6"/>
  <c r="J55" i="6" s="1"/>
  <c r="E56" i="6"/>
  <c r="K55" i="6" s="1"/>
  <c r="F56" i="6"/>
  <c r="G56" i="6"/>
  <c r="B57" i="6"/>
  <c r="H56" i="6" s="1"/>
  <c r="C57" i="6"/>
  <c r="I56" i="6" s="1"/>
  <c r="D57" i="6"/>
  <c r="J56" i="6" s="1"/>
  <c r="E57" i="6"/>
  <c r="K56" i="6" s="1"/>
  <c r="F57" i="6"/>
  <c r="G57" i="6"/>
  <c r="B58" i="6"/>
  <c r="H57" i="6" s="1"/>
  <c r="C58" i="6"/>
  <c r="I57" i="6" s="1"/>
  <c r="D58" i="6"/>
  <c r="J57" i="6" s="1"/>
  <c r="E58" i="6"/>
  <c r="K57" i="6" s="1"/>
  <c r="F58" i="6"/>
  <c r="G58" i="6"/>
  <c r="B59" i="6"/>
  <c r="H58" i="6" s="1"/>
  <c r="C59" i="6"/>
  <c r="I58" i="6" s="1"/>
  <c r="D59" i="6"/>
  <c r="J58" i="6" s="1"/>
  <c r="E59" i="6"/>
  <c r="K58" i="6" s="1"/>
  <c r="F59" i="6"/>
  <c r="G59" i="6"/>
  <c r="B60" i="6"/>
  <c r="H59" i="6" s="1"/>
  <c r="C60" i="6"/>
  <c r="I59" i="6" s="1"/>
  <c r="D60" i="6"/>
  <c r="J59" i="6" s="1"/>
  <c r="E60" i="6"/>
  <c r="K59" i="6" s="1"/>
  <c r="F60" i="6"/>
  <c r="G60" i="6"/>
  <c r="B61" i="6"/>
  <c r="H60" i="6" s="1"/>
  <c r="C61" i="6"/>
  <c r="I60" i="6" s="1"/>
  <c r="D61" i="6"/>
  <c r="J60" i="6" s="1"/>
  <c r="E61" i="6"/>
  <c r="K60" i="6" s="1"/>
  <c r="F61" i="6"/>
  <c r="G61" i="6"/>
  <c r="B62" i="6"/>
  <c r="H61" i="6" s="1"/>
  <c r="C62" i="6"/>
  <c r="I61" i="6" s="1"/>
  <c r="D62" i="6"/>
  <c r="J61" i="6" s="1"/>
  <c r="E62" i="6"/>
  <c r="K61" i="6" s="1"/>
  <c r="F62" i="6"/>
  <c r="G62" i="6"/>
  <c r="B63" i="6"/>
  <c r="H62" i="6" s="1"/>
  <c r="C63" i="6"/>
  <c r="I62" i="6" s="1"/>
  <c r="D63" i="6"/>
  <c r="J62" i="6" s="1"/>
  <c r="E63" i="6"/>
  <c r="K62" i="6" s="1"/>
  <c r="F63" i="6"/>
  <c r="G63" i="6"/>
  <c r="B64" i="6"/>
  <c r="H63" i="6" s="1"/>
  <c r="C64" i="6"/>
  <c r="I63" i="6" s="1"/>
  <c r="D64" i="6"/>
  <c r="J63" i="6" s="1"/>
  <c r="E64" i="6"/>
  <c r="K63" i="6" s="1"/>
  <c r="F64" i="6"/>
  <c r="G64" i="6"/>
  <c r="B65" i="6"/>
  <c r="H64" i="6" s="1"/>
  <c r="C65" i="6"/>
  <c r="I64" i="6" s="1"/>
  <c r="D65" i="6"/>
  <c r="J64" i="6" s="1"/>
  <c r="E65" i="6"/>
  <c r="K64" i="6" s="1"/>
  <c r="F65" i="6"/>
  <c r="G65" i="6"/>
  <c r="B66" i="6"/>
  <c r="H65" i="6" s="1"/>
  <c r="C66" i="6"/>
  <c r="I65" i="6" s="1"/>
  <c r="D66" i="6"/>
  <c r="J65" i="6" s="1"/>
  <c r="E66" i="6"/>
  <c r="K65" i="6" s="1"/>
  <c r="F66" i="6"/>
  <c r="G66" i="6"/>
  <c r="B67" i="6"/>
  <c r="H66" i="6" s="1"/>
  <c r="C67" i="6"/>
  <c r="I66" i="6" s="1"/>
  <c r="D67" i="6"/>
  <c r="J66" i="6" s="1"/>
  <c r="E67" i="6"/>
  <c r="K66" i="6" s="1"/>
  <c r="F67" i="6"/>
  <c r="G67" i="6"/>
  <c r="B68" i="6"/>
  <c r="H67" i="6" s="1"/>
  <c r="C68" i="6"/>
  <c r="I67" i="6" s="1"/>
  <c r="D68" i="6"/>
  <c r="J67" i="6" s="1"/>
  <c r="E68" i="6"/>
  <c r="K67" i="6" s="1"/>
  <c r="F68" i="6"/>
  <c r="G68" i="6"/>
  <c r="B69" i="6"/>
  <c r="H68" i="6" s="1"/>
  <c r="C69" i="6"/>
  <c r="I68" i="6" s="1"/>
  <c r="D69" i="6"/>
  <c r="J68" i="6" s="1"/>
  <c r="E69" i="6"/>
  <c r="K68" i="6" s="1"/>
  <c r="F69" i="6"/>
  <c r="G69" i="6"/>
  <c r="B70" i="6"/>
  <c r="H69" i="6" s="1"/>
  <c r="C70" i="6"/>
  <c r="I69" i="6" s="1"/>
  <c r="D70" i="6"/>
  <c r="J69" i="6" s="1"/>
  <c r="E70" i="6"/>
  <c r="K69" i="6" s="1"/>
  <c r="F70" i="6"/>
  <c r="G70" i="6"/>
  <c r="B71" i="6"/>
  <c r="H70" i="6" s="1"/>
  <c r="C71" i="6"/>
  <c r="I70" i="6" s="1"/>
  <c r="D71" i="6"/>
  <c r="J70" i="6" s="1"/>
  <c r="E71" i="6"/>
  <c r="K70" i="6" s="1"/>
  <c r="F71" i="6"/>
  <c r="G71" i="6"/>
  <c r="B72" i="6"/>
  <c r="H71" i="6" s="1"/>
  <c r="C72" i="6"/>
  <c r="I71" i="6" s="1"/>
  <c r="D72" i="6"/>
  <c r="J71" i="6" s="1"/>
  <c r="E72" i="6"/>
  <c r="K71" i="6" s="1"/>
  <c r="F72" i="6"/>
  <c r="G72" i="6"/>
  <c r="B73" i="6"/>
  <c r="H72" i="6" s="1"/>
  <c r="C73" i="6"/>
  <c r="I72" i="6" s="1"/>
  <c r="D73" i="6"/>
  <c r="J72" i="6" s="1"/>
  <c r="E73" i="6"/>
  <c r="K72" i="6" s="1"/>
  <c r="F73" i="6"/>
  <c r="G73" i="6"/>
  <c r="B74" i="6"/>
  <c r="H73" i="6" s="1"/>
  <c r="C74" i="6"/>
  <c r="I73" i="6" s="1"/>
  <c r="D74" i="6"/>
  <c r="J73" i="6" s="1"/>
  <c r="E74" i="6"/>
  <c r="K73" i="6" s="1"/>
  <c r="F74" i="6"/>
  <c r="G74" i="6"/>
  <c r="B75" i="6"/>
  <c r="H74" i="6" s="1"/>
  <c r="C75" i="6"/>
  <c r="I74" i="6" s="1"/>
  <c r="D75" i="6"/>
  <c r="J74" i="6" s="1"/>
  <c r="E75" i="6"/>
  <c r="K74" i="6" s="1"/>
  <c r="F75" i="6"/>
  <c r="G75" i="6"/>
  <c r="B76" i="6"/>
  <c r="H75" i="6" s="1"/>
  <c r="C76" i="6"/>
  <c r="I75" i="6" s="1"/>
  <c r="D76" i="6"/>
  <c r="J75" i="6" s="1"/>
  <c r="E76" i="6"/>
  <c r="K75" i="6" s="1"/>
  <c r="F76" i="6"/>
  <c r="G76" i="6"/>
  <c r="B77" i="6"/>
  <c r="H76" i="6" s="1"/>
  <c r="C77" i="6"/>
  <c r="I76" i="6" s="1"/>
  <c r="D77" i="6"/>
  <c r="J76" i="6" s="1"/>
  <c r="E77" i="6"/>
  <c r="K76" i="6" s="1"/>
  <c r="F77" i="6"/>
  <c r="G77" i="6"/>
  <c r="B78" i="6"/>
  <c r="H77" i="6" s="1"/>
  <c r="C78" i="6"/>
  <c r="I77" i="6" s="1"/>
  <c r="D78" i="6"/>
  <c r="J77" i="6" s="1"/>
  <c r="E78" i="6"/>
  <c r="K77" i="6" s="1"/>
  <c r="F78" i="6"/>
  <c r="G78" i="6"/>
  <c r="B79" i="6"/>
  <c r="H78" i="6" s="1"/>
  <c r="C79" i="6"/>
  <c r="I78" i="6" s="1"/>
  <c r="D79" i="6"/>
  <c r="J78" i="6" s="1"/>
  <c r="E79" i="6"/>
  <c r="K78" i="6" s="1"/>
  <c r="F79" i="6"/>
  <c r="G79" i="6"/>
  <c r="B80" i="6"/>
  <c r="H79" i="6" s="1"/>
  <c r="C80" i="6"/>
  <c r="I79" i="6" s="1"/>
  <c r="D80" i="6"/>
  <c r="J79" i="6" s="1"/>
  <c r="E80" i="6"/>
  <c r="K79" i="6" s="1"/>
  <c r="F80" i="6"/>
  <c r="G80" i="6"/>
  <c r="B81" i="6"/>
  <c r="H80" i="6" s="1"/>
  <c r="C81" i="6"/>
  <c r="I80" i="6" s="1"/>
  <c r="D81" i="6"/>
  <c r="J80" i="6" s="1"/>
  <c r="E81" i="6"/>
  <c r="K80" i="6" s="1"/>
  <c r="F81" i="6"/>
  <c r="G81" i="6"/>
  <c r="B82" i="6"/>
  <c r="H81" i="6" s="1"/>
  <c r="C82" i="6"/>
  <c r="I81" i="6" s="1"/>
  <c r="D82" i="6"/>
  <c r="J81" i="6" s="1"/>
  <c r="E82" i="6"/>
  <c r="K81" i="6" s="1"/>
  <c r="F82" i="6"/>
  <c r="G82" i="6"/>
  <c r="B83" i="6"/>
  <c r="H82" i="6" s="1"/>
  <c r="C83" i="6"/>
  <c r="I82" i="6" s="1"/>
  <c r="D83" i="6"/>
  <c r="J82" i="6" s="1"/>
  <c r="E83" i="6"/>
  <c r="K82" i="6" s="1"/>
  <c r="F83" i="6"/>
  <c r="G83" i="6"/>
  <c r="B84" i="6"/>
  <c r="H83" i="6" s="1"/>
  <c r="C84" i="6"/>
  <c r="I83" i="6" s="1"/>
  <c r="D84" i="6"/>
  <c r="J83" i="6" s="1"/>
  <c r="E84" i="6"/>
  <c r="K83" i="6" s="1"/>
  <c r="F84" i="6"/>
  <c r="G84" i="6"/>
  <c r="B85" i="6"/>
  <c r="H84" i="6" s="1"/>
  <c r="C85" i="6"/>
  <c r="I84" i="6" s="1"/>
  <c r="D85" i="6"/>
  <c r="J84" i="6" s="1"/>
  <c r="E85" i="6"/>
  <c r="K84" i="6" s="1"/>
  <c r="F85" i="6"/>
  <c r="G85" i="6"/>
  <c r="B86" i="6"/>
  <c r="H85" i="6" s="1"/>
  <c r="C86" i="6"/>
  <c r="I85" i="6" s="1"/>
  <c r="D86" i="6"/>
  <c r="J85" i="6" s="1"/>
  <c r="E86" i="6"/>
  <c r="K85" i="6" s="1"/>
  <c r="F86" i="6"/>
  <c r="G86" i="6"/>
  <c r="B87" i="6"/>
  <c r="H86" i="6" s="1"/>
  <c r="C87" i="6"/>
  <c r="I86" i="6" s="1"/>
  <c r="D87" i="6"/>
  <c r="J86" i="6" s="1"/>
  <c r="E87" i="6"/>
  <c r="K86" i="6" s="1"/>
  <c r="F87" i="6"/>
  <c r="G87" i="6"/>
  <c r="B88" i="6"/>
  <c r="H87" i="6" s="1"/>
  <c r="C88" i="6"/>
  <c r="I87" i="6" s="1"/>
  <c r="D88" i="6"/>
  <c r="J87" i="6" s="1"/>
  <c r="E88" i="6"/>
  <c r="K87" i="6" s="1"/>
  <c r="F88" i="6"/>
  <c r="G88" i="6"/>
  <c r="B89" i="6"/>
  <c r="H88" i="6" s="1"/>
  <c r="C89" i="6"/>
  <c r="I88" i="6" s="1"/>
  <c r="D89" i="6"/>
  <c r="J88" i="6" s="1"/>
  <c r="E89" i="6"/>
  <c r="K88" i="6" s="1"/>
  <c r="F89" i="6"/>
  <c r="G89" i="6"/>
  <c r="B90" i="6"/>
  <c r="H89" i="6" s="1"/>
  <c r="C90" i="6"/>
  <c r="I89" i="6" s="1"/>
  <c r="D90" i="6"/>
  <c r="J89" i="6" s="1"/>
  <c r="E90" i="6"/>
  <c r="K89" i="6" s="1"/>
  <c r="F90" i="6"/>
  <c r="G90" i="6"/>
  <c r="B91" i="6"/>
  <c r="H90" i="6" s="1"/>
  <c r="C91" i="6"/>
  <c r="I90" i="6" s="1"/>
  <c r="D91" i="6"/>
  <c r="J90" i="6" s="1"/>
  <c r="E91" i="6"/>
  <c r="K90" i="6" s="1"/>
  <c r="F91" i="6"/>
  <c r="G91" i="6"/>
  <c r="B92" i="6"/>
  <c r="H91" i="6" s="1"/>
  <c r="C92" i="6"/>
  <c r="I91" i="6" s="1"/>
  <c r="D92" i="6"/>
  <c r="J91" i="6" s="1"/>
  <c r="E92" i="6"/>
  <c r="K91" i="6" s="1"/>
  <c r="F92" i="6"/>
  <c r="G92" i="6"/>
  <c r="B93" i="6"/>
  <c r="H92" i="6" s="1"/>
  <c r="C93" i="6"/>
  <c r="I92" i="6" s="1"/>
  <c r="D93" i="6"/>
  <c r="J92" i="6" s="1"/>
  <c r="E93" i="6"/>
  <c r="K92" i="6" s="1"/>
  <c r="F93" i="6"/>
  <c r="G93" i="6"/>
  <c r="B94" i="6"/>
  <c r="H93" i="6" s="1"/>
  <c r="C94" i="6"/>
  <c r="I93" i="6" s="1"/>
  <c r="D94" i="6"/>
  <c r="J93" i="6" s="1"/>
  <c r="E94" i="6"/>
  <c r="K93" i="6" s="1"/>
  <c r="F94" i="6"/>
  <c r="G94" i="6"/>
  <c r="B95" i="6"/>
  <c r="H94" i="6" s="1"/>
  <c r="C95" i="6"/>
  <c r="I94" i="6" s="1"/>
  <c r="D95" i="6"/>
  <c r="J94" i="6" s="1"/>
  <c r="E95" i="6"/>
  <c r="K94" i="6" s="1"/>
  <c r="F95" i="6"/>
  <c r="G95" i="6"/>
  <c r="B96" i="6"/>
  <c r="H95" i="6" s="1"/>
  <c r="C96" i="6"/>
  <c r="I95" i="6" s="1"/>
  <c r="D96" i="6"/>
  <c r="J95" i="6" s="1"/>
  <c r="E96" i="6"/>
  <c r="K95" i="6" s="1"/>
  <c r="F96" i="6"/>
  <c r="G96" i="6"/>
  <c r="B97" i="6"/>
  <c r="H96" i="6" s="1"/>
  <c r="C97" i="6"/>
  <c r="I96" i="6" s="1"/>
  <c r="D97" i="6"/>
  <c r="J96" i="6" s="1"/>
  <c r="E97" i="6"/>
  <c r="K96" i="6" s="1"/>
  <c r="F97" i="6"/>
  <c r="G97" i="6"/>
  <c r="B98" i="6"/>
  <c r="H97" i="6" s="1"/>
  <c r="C98" i="6"/>
  <c r="I97" i="6" s="1"/>
  <c r="D98" i="6"/>
  <c r="J97" i="6" s="1"/>
  <c r="E98" i="6"/>
  <c r="K97" i="6" s="1"/>
  <c r="F98" i="6"/>
  <c r="G98" i="6"/>
  <c r="B99" i="6"/>
  <c r="H98" i="6" s="1"/>
  <c r="C99" i="6"/>
  <c r="I98" i="6" s="1"/>
  <c r="D99" i="6"/>
  <c r="J98" i="6" s="1"/>
  <c r="E99" i="6"/>
  <c r="K98" i="6" s="1"/>
  <c r="F99" i="6"/>
  <c r="G99" i="6"/>
  <c r="B100" i="6"/>
  <c r="H99" i="6" s="1"/>
  <c r="C100" i="6"/>
  <c r="I99" i="6" s="1"/>
  <c r="D100" i="6"/>
  <c r="J99" i="6" s="1"/>
  <c r="E100" i="6"/>
  <c r="K99" i="6" s="1"/>
  <c r="F100" i="6"/>
  <c r="G100" i="6"/>
  <c r="B101" i="6"/>
  <c r="H100" i="6" s="1"/>
  <c r="C101" i="6"/>
  <c r="I100" i="6" s="1"/>
  <c r="D101" i="6"/>
  <c r="J100" i="6" s="1"/>
  <c r="E101" i="6"/>
  <c r="K100" i="6" s="1"/>
  <c r="F101" i="6"/>
  <c r="G101" i="6"/>
  <c r="B102" i="6"/>
  <c r="H101" i="6" s="1"/>
  <c r="C102" i="6"/>
  <c r="I101" i="6" s="1"/>
  <c r="D102" i="6"/>
  <c r="J101" i="6" s="1"/>
  <c r="E102" i="6"/>
  <c r="K101" i="6" s="1"/>
  <c r="F102" i="6"/>
  <c r="G102" i="6"/>
  <c r="B103" i="6"/>
  <c r="H102" i="6" s="1"/>
  <c r="C103" i="6"/>
  <c r="I102" i="6" s="1"/>
  <c r="D103" i="6"/>
  <c r="J102" i="6" s="1"/>
  <c r="E103" i="6"/>
  <c r="K102" i="6" s="1"/>
  <c r="F103" i="6"/>
  <c r="G103" i="6"/>
  <c r="B104" i="6"/>
  <c r="H103" i="6" s="1"/>
  <c r="C104" i="6"/>
  <c r="I103" i="6" s="1"/>
  <c r="D104" i="6"/>
  <c r="J103" i="6" s="1"/>
  <c r="E104" i="6"/>
  <c r="K103" i="6" s="1"/>
  <c r="F104" i="6"/>
  <c r="G104" i="6"/>
  <c r="B105" i="6"/>
  <c r="H104" i="6" s="1"/>
  <c r="C105" i="6"/>
  <c r="I104" i="6" s="1"/>
  <c r="D105" i="6"/>
  <c r="J104" i="6" s="1"/>
  <c r="E105" i="6"/>
  <c r="K104" i="6" s="1"/>
  <c r="F105" i="6"/>
  <c r="G105" i="6"/>
  <c r="B106" i="6"/>
  <c r="H105" i="6" s="1"/>
  <c r="C106" i="6"/>
  <c r="I105" i="6" s="1"/>
  <c r="D106" i="6"/>
  <c r="J105" i="6" s="1"/>
  <c r="E106" i="6"/>
  <c r="K105" i="6" s="1"/>
  <c r="F106" i="6"/>
  <c r="G106" i="6"/>
  <c r="B107" i="6"/>
  <c r="H106" i="6" s="1"/>
  <c r="C107" i="6"/>
  <c r="I106" i="6" s="1"/>
  <c r="D107" i="6"/>
  <c r="J106" i="6" s="1"/>
  <c r="E107" i="6"/>
  <c r="K106" i="6" s="1"/>
  <c r="F107" i="6"/>
  <c r="G107" i="6"/>
  <c r="B108" i="6"/>
  <c r="H107" i="6" s="1"/>
  <c r="C108" i="6"/>
  <c r="I107" i="6" s="1"/>
  <c r="D108" i="6"/>
  <c r="J107" i="6" s="1"/>
  <c r="E108" i="6"/>
  <c r="K107" i="6" s="1"/>
  <c r="F108" i="6"/>
  <c r="G108" i="6"/>
  <c r="B109" i="6"/>
  <c r="H108" i="6" s="1"/>
  <c r="C109" i="6"/>
  <c r="I108" i="6" s="1"/>
  <c r="D109" i="6"/>
  <c r="J108" i="6" s="1"/>
  <c r="E109" i="6"/>
  <c r="K108" i="6" s="1"/>
  <c r="F109" i="6"/>
  <c r="G109" i="6"/>
  <c r="B110" i="6"/>
  <c r="H109" i="6" s="1"/>
  <c r="C110" i="6"/>
  <c r="I109" i="6" s="1"/>
  <c r="D110" i="6"/>
  <c r="J109" i="6" s="1"/>
  <c r="E110" i="6"/>
  <c r="K109" i="6" s="1"/>
  <c r="F110" i="6"/>
  <c r="G110" i="6"/>
  <c r="B111" i="6"/>
  <c r="H110" i="6" s="1"/>
  <c r="C111" i="6"/>
  <c r="I110" i="6" s="1"/>
  <c r="D111" i="6"/>
  <c r="J110" i="6" s="1"/>
  <c r="E111" i="6"/>
  <c r="K110" i="6" s="1"/>
  <c r="F111" i="6"/>
  <c r="G111" i="6"/>
  <c r="B112" i="6"/>
  <c r="H111" i="6" s="1"/>
  <c r="C112" i="6"/>
  <c r="I111" i="6" s="1"/>
  <c r="D112" i="6"/>
  <c r="J111" i="6" s="1"/>
  <c r="E112" i="6"/>
  <c r="K111" i="6" s="1"/>
  <c r="F112" i="6"/>
  <c r="G112" i="6"/>
  <c r="I112" i="6"/>
  <c r="J112" i="6"/>
  <c r="K112" i="6"/>
  <c r="L112" i="6"/>
  <c r="N112" i="6" s="1"/>
  <c r="M112" i="6"/>
  <c r="G28" i="6"/>
  <c r="F28" i="6"/>
  <c r="C28" i="6"/>
  <c r="E28" i="6"/>
  <c r="D28" i="6"/>
  <c r="B28" i="6"/>
  <c r="K43" i="5"/>
  <c r="Q5" i="5"/>
  <c r="P5" i="5"/>
  <c r="AF4" i="4"/>
  <c r="AE4" i="4"/>
  <c r="R5" i="4"/>
  <c r="Q5" i="4"/>
  <c r="K72" i="3"/>
  <c r="K58" i="3"/>
  <c r="H58" i="3"/>
  <c r="K57" i="3"/>
  <c r="H57" i="3"/>
  <c r="K56" i="3"/>
  <c r="H56" i="3"/>
  <c r="K25" i="3"/>
  <c r="K17" i="3"/>
  <c r="K26" i="3" s="1"/>
  <c r="J17" i="3"/>
  <c r="J26" i="3" s="1"/>
  <c r="I17" i="3"/>
  <c r="I26" i="3" s="1"/>
  <c r="H17" i="3"/>
  <c r="H26" i="3" s="1"/>
  <c r="K16" i="3"/>
  <c r="J16" i="3"/>
  <c r="J25" i="3" s="1"/>
  <c r="I16" i="3"/>
  <c r="I25" i="3" s="1"/>
  <c r="H16" i="3"/>
  <c r="H25" i="3" s="1"/>
  <c r="K15" i="3"/>
  <c r="K24" i="3" s="1"/>
  <c r="J15" i="3"/>
  <c r="J24" i="3" s="1"/>
  <c r="I15" i="3"/>
  <c r="I24" i="3" s="1"/>
  <c r="H15" i="3"/>
  <c r="H24" i="3" s="1"/>
  <c r="K14" i="3"/>
  <c r="K23" i="3" s="1"/>
  <c r="J14" i="3"/>
  <c r="J23" i="3" s="1"/>
  <c r="I14" i="3"/>
  <c r="I23" i="3" s="1"/>
  <c r="H14" i="3"/>
  <c r="H23" i="3" s="1"/>
  <c r="AI79" i="2"/>
  <c r="AJ79" i="2"/>
  <c r="AK79" i="2"/>
  <c r="AL79" i="2"/>
  <c r="AI80" i="2"/>
  <c r="AJ80" i="2"/>
  <c r="AK80" i="2"/>
  <c r="AL80" i="2"/>
  <c r="AJ78" i="2"/>
  <c r="AK78" i="2"/>
  <c r="AL78" i="2"/>
  <c r="AI78" i="2"/>
  <c r="M89" i="2"/>
  <c r="AA67" i="2"/>
  <c r="AB67" i="2"/>
  <c r="AC67" i="2"/>
  <c r="AD67" i="2"/>
  <c r="AA68" i="2"/>
  <c r="AB68" i="2"/>
  <c r="AC68" i="2"/>
  <c r="AD68" i="2"/>
  <c r="AB66" i="2"/>
  <c r="AC66" i="2"/>
  <c r="AD66" i="2"/>
  <c r="AA66" i="2"/>
  <c r="O23" i="2"/>
  <c r="T19" i="1"/>
  <c r="T18" i="1"/>
  <c r="T20" i="1"/>
  <c r="U9" i="1"/>
  <c r="P21" i="1"/>
  <c r="U10" i="1"/>
  <c r="R20" i="1"/>
  <c r="T31" i="1"/>
  <c r="T21" i="1"/>
  <c r="O31" i="1"/>
  <c r="Q31" i="1"/>
  <c r="R31" i="1"/>
  <c r="P31" i="1"/>
  <c r="S29" i="1"/>
  <c r="G18" i="1"/>
  <c r="F23" i="1"/>
  <c r="F22" i="1"/>
  <c r="F21" i="1"/>
  <c r="T12" i="1"/>
  <c r="U12" i="1" s="1"/>
  <c r="U11" i="1"/>
  <c r="Q19" i="1"/>
  <c r="Q30" i="1" s="1"/>
  <c r="R19" i="1"/>
  <c r="R30" i="1" s="1"/>
  <c r="S19" i="1"/>
  <c r="P19" i="1"/>
  <c r="O30" i="1" s="1"/>
  <c r="P18" i="1"/>
  <c r="O29" i="1" s="1"/>
  <c r="Q18" i="1"/>
  <c r="Q29" i="1" s="1"/>
  <c r="R18" i="1"/>
  <c r="R29" i="1" s="1"/>
  <c r="S18" i="1"/>
  <c r="S20" i="1"/>
  <c r="S30" i="1" s="1"/>
  <c r="Q20" i="1"/>
  <c r="P20" i="1"/>
  <c r="P12" i="1"/>
  <c r="Q12" i="1"/>
  <c r="R12" i="1"/>
  <c r="S12" i="1"/>
  <c r="S21" i="1" s="1"/>
  <c r="O12" i="1"/>
  <c r="L72" i="6" l="1"/>
  <c r="M64" i="6"/>
  <c r="M68" i="6"/>
  <c r="L61" i="6"/>
  <c r="L68" i="6"/>
  <c r="M53" i="6"/>
  <c r="M56" i="6"/>
  <c r="M88" i="6"/>
  <c r="L40" i="6"/>
  <c r="M65" i="6"/>
  <c r="L89" i="6"/>
  <c r="L57" i="6"/>
  <c r="L41" i="6"/>
  <c r="M84" i="6"/>
  <c r="M96" i="6"/>
  <c r="M81" i="6"/>
  <c r="L65" i="6"/>
  <c r="M52" i="6"/>
  <c r="M60" i="6"/>
  <c r="L44" i="6"/>
  <c r="L92" i="6"/>
  <c r="M106" i="6"/>
  <c r="L52" i="6"/>
  <c r="M40" i="6"/>
  <c r="M49" i="6"/>
  <c r="M33" i="6"/>
  <c r="L37" i="6"/>
  <c r="L53" i="6"/>
  <c r="L88" i="6"/>
  <c r="L93" i="6"/>
  <c r="L56" i="6"/>
  <c r="M36" i="6"/>
  <c r="L85" i="6"/>
  <c r="M44" i="6"/>
  <c r="M97" i="6"/>
  <c r="L29" i="6"/>
  <c r="L60" i="6"/>
  <c r="M32" i="6"/>
  <c r="L45" i="6"/>
  <c r="L36" i="6"/>
  <c r="M104" i="6"/>
  <c r="L97" i="6"/>
  <c r="L84" i="6"/>
  <c r="M72" i="6"/>
  <c r="M48" i="6"/>
  <c r="M108" i="6"/>
  <c r="M100" i="6"/>
  <c r="M69" i="6"/>
  <c r="L100" i="6"/>
  <c r="M76" i="6"/>
  <c r="L76" i="6"/>
  <c r="M80" i="6"/>
  <c r="L104" i="6"/>
  <c r="M92" i="6"/>
  <c r="L48" i="6"/>
  <c r="M109" i="6"/>
  <c r="L49" i="6"/>
  <c r="L101" i="6"/>
  <c r="L96" i="6"/>
  <c r="L32" i="6"/>
  <c r="M37" i="6"/>
  <c r="L33" i="6"/>
  <c r="N33" i="6" s="1"/>
  <c r="L108" i="6"/>
  <c r="M101" i="6"/>
  <c r="L80" i="6"/>
  <c r="L81" i="6"/>
  <c r="M110" i="6"/>
  <c r="L77" i="6"/>
  <c r="L73" i="6"/>
  <c r="L69" i="6"/>
  <c r="M85" i="6"/>
  <c r="L64" i="6"/>
  <c r="M45" i="6"/>
  <c r="M89" i="6"/>
  <c r="M77" i="6"/>
  <c r="L105" i="6"/>
  <c r="M29" i="6"/>
  <c r="M105" i="6"/>
  <c r="M41" i="6"/>
  <c r="L109" i="6"/>
  <c r="M93" i="6"/>
  <c r="M73" i="6"/>
  <c r="M61" i="6"/>
  <c r="M57" i="6"/>
  <c r="L106" i="6"/>
  <c r="M99" i="6"/>
  <c r="M74" i="6"/>
  <c r="M67" i="6"/>
  <c r="M42" i="6"/>
  <c r="M35" i="6"/>
  <c r="L87" i="6"/>
  <c r="L71" i="6"/>
  <c r="L55" i="6"/>
  <c r="L74" i="6"/>
  <c r="N74" i="6" s="1"/>
  <c r="L42" i="6"/>
  <c r="N42" i="6" s="1"/>
  <c r="M54" i="6"/>
  <c r="L111" i="6"/>
  <c r="L99" i="6"/>
  <c r="L51" i="6"/>
  <c r="L86" i="6"/>
  <c r="L70" i="6"/>
  <c r="L38" i="6"/>
  <c r="M98" i="6"/>
  <c r="M82" i="6"/>
  <c r="M66" i="6"/>
  <c r="M50" i="6"/>
  <c r="M34" i="6"/>
  <c r="L95" i="6"/>
  <c r="L79" i="6"/>
  <c r="L47" i="6"/>
  <c r="L98" i="6"/>
  <c r="L50" i="6"/>
  <c r="L107" i="6"/>
  <c r="M94" i="6"/>
  <c r="M78" i="6"/>
  <c r="M62" i="6"/>
  <c r="M55" i="6"/>
  <c r="M46" i="6"/>
  <c r="M39" i="6"/>
  <c r="M30" i="6"/>
  <c r="L103" i="6"/>
  <c r="L58" i="6"/>
  <c r="M86" i="6"/>
  <c r="M79" i="6"/>
  <c r="M31" i="6"/>
  <c r="L67" i="6"/>
  <c r="L35" i="6"/>
  <c r="N35" i="6" s="1"/>
  <c r="L102" i="6"/>
  <c r="L54" i="6"/>
  <c r="L31" i="6"/>
  <c r="L82" i="6"/>
  <c r="L66" i="6"/>
  <c r="M87" i="6"/>
  <c r="M71" i="6"/>
  <c r="L91" i="6"/>
  <c r="L75" i="6"/>
  <c r="L59" i="6"/>
  <c r="L43" i="6"/>
  <c r="M111" i="6"/>
  <c r="M90" i="6"/>
  <c r="M83" i="6"/>
  <c r="M58" i="6"/>
  <c r="M51" i="6"/>
  <c r="L39" i="6"/>
  <c r="L90" i="6"/>
  <c r="M102" i="6"/>
  <c r="M95" i="6"/>
  <c r="M70" i="6"/>
  <c r="M63" i="6"/>
  <c r="M47" i="6"/>
  <c r="M38" i="6"/>
  <c r="L83" i="6"/>
  <c r="M107" i="6"/>
  <c r="M91" i="6"/>
  <c r="M75" i="6"/>
  <c r="M59" i="6"/>
  <c r="M43" i="6"/>
  <c r="L63" i="6"/>
  <c r="L110" i="6"/>
  <c r="L34" i="6"/>
  <c r="M103" i="6"/>
  <c r="L94" i="6"/>
  <c r="L78" i="6"/>
  <c r="L62" i="6"/>
  <c r="L46" i="6"/>
  <c r="L30" i="6"/>
  <c r="I28" i="6"/>
  <c r="L28" i="6" s="1"/>
  <c r="K28" i="6"/>
  <c r="J28" i="6"/>
  <c r="T30" i="1"/>
  <c r="S31" i="1"/>
  <c r="T29" i="1"/>
  <c r="R21" i="1"/>
  <c r="Q21" i="1"/>
  <c r="O32" i="1"/>
  <c r="N94" i="6" l="1"/>
  <c r="N34" i="6"/>
  <c r="N50" i="6"/>
  <c r="N109" i="6"/>
  <c r="N79" i="6"/>
  <c r="N62" i="6"/>
  <c r="N39" i="6"/>
  <c r="N98" i="6"/>
  <c r="N102" i="6"/>
  <c r="N110" i="6"/>
  <c r="N95" i="6"/>
  <c r="N60" i="6"/>
  <c r="N108" i="6"/>
  <c r="N47" i="6"/>
  <c r="N78" i="6"/>
  <c r="N56" i="6"/>
  <c r="N63" i="6"/>
  <c r="N55" i="6"/>
  <c r="N57" i="6"/>
  <c r="N89" i="6"/>
  <c r="N97" i="6"/>
  <c r="N64" i="6"/>
  <c r="N68" i="6"/>
  <c r="N52" i="6"/>
  <c r="N67" i="6"/>
  <c r="N93" i="6"/>
  <c r="N88" i="6"/>
  <c r="N71" i="6"/>
  <c r="N32" i="6"/>
  <c r="N53" i="6"/>
  <c r="N87" i="6"/>
  <c r="N103" i="6"/>
  <c r="N70" i="6"/>
  <c r="N44" i="6"/>
  <c r="N73" i="6"/>
  <c r="N49" i="6"/>
  <c r="N76" i="6"/>
  <c r="N61" i="6"/>
  <c r="N40" i="6"/>
  <c r="N105" i="6"/>
  <c r="N96" i="6"/>
  <c r="N37" i="6"/>
  <c r="N58" i="6"/>
  <c r="N75" i="6"/>
  <c r="N30" i="6"/>
  <c r="N69" i="6"/>
  <c r="N46" i="6"/>
  <c r="N66" i="6"/>
  <c r="N77" i="6"/>
  <c r="N29" i="6"/>
  <c r="N82" i="6"/>
  <c r="N31" i="6"/>
  <c r="N99" i="6"/>
  <c r="N81" i="6"/>
  <c r="N41" i="6"/>
  <c r="N84" i="6"/>
  <c r="N43" i="6"/>
  <c r="N101" i="6"/>
  <c r="N59" i="6"/>
  <c r="N83" i="6"/>
  <c r="N36" i="6"/>
  <c r="N91" i="6"/>
  <c r="N48" i="6"/>
  <c r="N45" i="6"/>
  <c r="N38" i="6"/>
  <c r="N106" i="6"/>
  <c r="N104" i="6"/>
  <c r="N92" i="6"/>
  <c r="N86" i="6"/>
  <c r="N51" i="6"/>
  <c r="N90" i="6"/>
  <c r="N54" i="6"/>
  <c r="N107" i="6"/>
  <c r="N111" i="6"/>
  <c r="N80" i="6"/>
  <c r="N100" i="6"/>
  <c r="N85" i="6"/>
  <c r="N65" i="6"/>
  <c r="N72" i="6"/>
  <c r="M28" i="6"/>
  <c r="N28" i="6" s="1"/>
  <c r="R32" i="1"/>
  <c r="S32" i="1"/>
  <c r="Q32" i="1"/>
  <c r="T32" i="1"/>
  <c r="H117" i="6" l="1"/>
  <c r="H118" i="6"/>
  <c r="H116" i="6" l="1"/>
  <c r="C126" i="6" s="1"/>
  <c r="C128" i="6" s="1"/>
  <c r="C129" i="6" l="1"/>
  <c r="F138" i="6" s="1"/>
  <c r="F136" i="6"/>
</calcChain>
</file>

<file path=xl/sharedStrings.xml><?xml version="1.0" encoding="utf-8"?>
<sst xmlns="http://schemas.openxmlformats.org/spreadsheetml/2006/main" count="631" uniqueCount="379">
  <si>
    <t>Виды сырья</t>
  </si>
  <si>
    <t>Запасы сырья</t>
  </si>
  <si>
    <t>Виды продукции</t>
  </si>
  <si>
    <t>П1</t>
  </si>
  <si>
    <t>П2</t>
  </si>
  <si>
    <t>С1</t>
  </si>
  <si>
    <t>С2</t>
  </si>
  <si>
    <t>С3</t>
  </si>
  <si>
    <t>Прибыль от реализации ед. продукции</t>
  </si>
  <si>
    <t>Д1</t>
  </si>
  <si>
    <t>Д2</t>
  </si>
  <si>
    <t>a1</t>
  </si>
  <si>
    <t>2a1+6a2 &lt;=14</t>
  </si>
  <si>
    <t>5a1+2a2 &lt;=14</t>
  </si>
  <si>
    <t>5a1+6a2 &lt;= 20</t>
  </si>
  <si>
    <t>a1&gt;= 0; a2 &gt;=0</t>
  </si>
  <si>
    <t>"=&gt;"</t>
  </si>
  <si>
    <t>2a1 + 6a2 + a3 = 14</t>
  </si>
  <si>
    <t>5a1 + 2a2 + a4 = 14</t>
  </si>
  <si>
    <t>20a1+14a2 -&gt; max</t>
  </si>
  <si>
    <t>a2</t>
  </si>
  <si>
    <t>a3</t>
  </si>
  <si>
    <t>a4</t>
  </si>
  <si>
    <t>a5</t>
  </si>
  <si>
    <t>БП</t>
  </si>
  <si>
    <t>F</t>
  </si>
  <si>
    <t>J</t>
  </si>
  <si>
    <t>5a1 + 6a2 + a5 = 20</t>
  </si>
  <si>
    <t>Количество</t>
  </si>
  <si>
    <t>Доход</t>
  </si>
  <si>
    <t>Ограничения</t>
  </si>
  <si>
    <t>Расход</t>
  </si>
  <si>
    <t>Запас</t>
  </si>
  <si>
    <t>Шаг 1: Перенос данных в табличку. Выбор разрешающей строки и столбца</t>
  </si>
  <si>
    <t>Шаг 2: В качестве разрешающей строки была выбрана та строка, значение F в которой меньше всего. В качестве столбца выбирается тот столбец, значение J которого меньше всего</t>
  </si>
  <si>
    <t>aij = aij - (apj * aiq)/apq: Формула для всех элементов таблицы</t>
  </si>
  <si>
    <t>J = (aij *ci) - fj: Формула для строки j</t>
  </si>
  <si>
    <t>Ответ: 60 ед</t>
  </si>
  <si>
    <t>x1 = 2.2</t>
  </si>
  <si>
    <t>x2 = 1.5</t>
  </si>
  <si>
    <t>Шаг 3: Повторяет собой шаг 2. Т.к в строке индексов нету отрицательных чисел - это итоговое решение</t>
  </si>
  <si>
    <r>
      <t xml:space="preserve">Решение задачи через поиск решений. </t>
    </r>
    <r>
      <rPr>
        <sz val="11"/>
        <color rgb="FFFF0000"/>
        <rFont val="Calibri"/>
        <family val="2"/>
        <charset val="204"/>
        <scheme val="minor"/>
      </rPr>
      <t>Ответ помечен красным</t>
    </r>
  </si>
  <si>
    <t>В графическом решении сначала строятся графики ограничивающих функций</t>
  </si>
  <si>
    <t>Мы получаем область допустимых решений</t>
  </si>
  <si>
    <t>Далее мы строим график целевой функции и перемещаем его до тех пор, пока он не достигнет максимального значения</t>
  </si>
  <si>
    <t>Получаем точку решения: (2.2,1.5); При значении функции F=65</t>
  </si>
  <si>
    <t>Ограничение и приведение к канонической форме</t>
  </si>
  <si>
    <t>Постановка задачи. Вариант 10</t>
  </si>
  <si>
    <t>Вектор X3: {2.2, 1.5, 0.6, 0, 0}</t>
  </si>
  <si>
    <t>Вектор X2: {2.8, 0, 8.4, 0, 6}</t>
  </si>
  <si>
    <t>Вектор X1: {0, 0, 14, 14, 20}</t>
  </si>
  <si>
    <t>Петренко Антон с326</t>
  </si>
  <si>
    <t>A1</t>
  </si>
  <si>
    <t>A2</t>
  </si>
  <si>
    <t>A3</t>
  </si>
  <si>
    <t>B4</t>
  </si>
  <si>
    <t>B3</t>
  </si>
  <si>
    <t>B2</t>
  </si>
  <si>
    <t>B1</t>
  </si>
  <si>
    <t>Опорный план методом северо-западного угла</t>
  </si>
  <si>
    <t>Опорный план методом минимального элемента</t>
  </si>
  <si>
    <t>Далее 5 - я выбрал (A1;B2), ставим сто и закываем запасы и потребности</t>
  </si>
  <si>
    <t>Далее 4 - но потребности мы закрыли, ничего не ставим</t>
  </si>
  <si>
    <t>Наименьшая стоимость 3 =&gt; ставим 100 тк 100 - возможный максимум потребности</t>
  </si>
  <si>
    <t>Далее снова 5 (A1;B3) - запас исчерпан</t>
  </si>
  <si>
    <t>и тд</t>
  </si>
  <si>
    <t>Начиная с A1;B1, спускаясь к A3;B4 закрываем потребности</t>
  </si>
  <si>
    <t>Нахождение оптимального решения методом потенциалов</t>
  </si>
  <si>
    <t>Первое вычисление потенциалов</t>
  </si>
  <si>
    <t>Начальный план</t>
  </si>
  <si>
    <t>v_j</t>
  </si>
  <si>
    <t>u_i</t>
  </si>
  <si>
    <t>Стоимость: 3400</t>
  </si>
  <si>
    <t>u1 + v2 = 5</t>
  </si>
  <si>
    <t>u1 + v4 = 3</t>
  </si>
  <si>
    <t>u3+v3 = 7</t>
  </si>
  <si>
    <t>u3 + v3 = 7</t>
  </si>
  <si>
    <t>u2 + v1 = 6</t>
  </si>
  <si>
    <t xml:space="preserve"> Первый ноль установил в u1</t>
  </si>
  <si>
    <t>u1 = 0 =&gt; v2 = 5</t>
  </si>
  <si>
    <t>u1 = 0 =&gt; v4 = 3</t>
  </si>
  <si>
    <t>Добавляем базисные переменные (A2;B3) и (A3;B4)</t>
  </si>
  <si>
    <t>?</t>
  </si>
  <si>
    <t xml:space="preserve">Новая система: </t>
  </si>
  <si>
    <t>u3 + v4 = 4</t>
  </si>
  <si>
    <t>Решение:</t>
  </si>
  <si>
    <t>v2=5</t>
  </si>
  <si>
    <t>v4=3</t>
  </si>
  <si>
    <t>u3=1</t>
  </si>
  <si>
    <t>v3=6</t>
  </si>
  <si>
    <r>
      <t xml:space="preserve">0            </t>
    </r>
    <r>
      <rPr>
        <sz val="11"/>
        <color theme="9" tint="-0.249977111117893"/>
        <rFont val="Calibri"/>
        <family val="2"/>
        <charset val="204"/>
        <scheme val="minor"/>
      </rPr>
      <t>4</t>
    </r>
  </si>
  <si>
    <r>
      <t xml:space="preserve">0            </t>
    </r>
    <r>
      <rPr>
        <sz val="11"/>
        <color theme="9" tint="-0.249977111117893"/>
        <rFont val="Calibri"/>
        <family val="2"/>
        <charset val="204"/>
        <scheme val="minor"/>
      </rPr>
      <t>5</t>
    </r>
  </si>
  <si>
    <t>Обновленный план</t>
  </si>
  <si>
    <t>Новые базисные переменные</t>
  </si>
  <si>
    <t>Проверка оптимальности</t>
  </si>
  <si>
    <t>"-1 - решение не оптимально"</t>
  </si>
  <si>
    <t>Улучшение плана:</t>
  </si>
  <si>
    <t>0+100</t>
  </si>
  <si>
    <t>100-100</t>
  </si>
  <si>
    <t>200-100</t>
  </si>
  <si>
    <t>Стоимость:</t>
  </si>
  <si>
    <t>Улучшение на 100</t>
  </si>
  <si>
    <t>u1 + v3 = 5</t>
  </si>
  <si>
    <t>Новая система:</t>
  </si>
  <si>
    <t>v3=5</t>
  </si>
  <si>
    <t>u1=0</t>
  </si>
  <si>
    <t>u2=0</t>
  </si>
  <si>
    <t>v1=6</t>
  </si>
  <si>
    <t>u3=2</t>
  </si>
  <si>
    <t>v4=2</t>
  </si>
  <si>
    <t>Проверка отпимальности</t>
  </si>
  <si>
    <t>Нет значенийй менше нуля - решение оптимально</t>
  </si>
  <si>
    <t>Ответ - оптиимальны план 3300</t>
  </si>
  <si>
    <t>Работа 1</t>
  </si>
  <si>
    <t>Работа 2</t>
  </si>
  <si>
    <t>Работа 3</t>
  </si>
  <si>
    <t>Работа 4</t>
  </si>
  <si>
    <t>A</t>
  </si>
  <si>
    <t>B</t>
  </si>
  <si>
    <t>C</t>
  </si>
  <si>
    <t>D</t>
  </si>
  <si>
    <t>Начальная таблица</t>
  </si>
  <si>
    <t>Вычитаем меньшей элемент каждой строки из каждого элемента строки</t>
  </si>
  <si>
    <t>Вычитаем меньший элемент каждого столбца из элементов этого столбца</t>
  </si>
  <si>
    <r>
      <t xml:space="preserve">Выбираем нули - </t>
    </r>
    <r>
      <rPr>
        <sz val="11"/>
        <color rgb="FFFFFF00"/>
        <rFont val="Calibri"/>
        <family val="2"/>
        <charset val="204"/>
        <scheme val="minor"/>
      </rPr>
      <t>Желтый цыет</t>
    </r>
  </si>
  <si>
    <t>ни один элмент 4 столбца не соотвествует условию</t>
  </si>
  <si>
    <t>Надо выбрать нули так, чтобы в каждой строке и в каждом столбце был только один ноль</t>
  </si>
  <si>
    <t xml:space="preserve">Редуцировать заново не получится, везде нулевые элементы </t>
  </si>
  <si>
    <t>Вычеркиваем строки и столбцы, в которых нули</t>
  </si>
  <si>
    <t>Столбец 2-3 и строка 3:</t>
  </si>
  <si>
    <t>Находим минимальный непокрытый элемент (1)</t>
  </si>
  <si>
    <t>Вычитаем 1 из всех непокрытых элементов и прибавляем 1 к элементам на пересечениях линий</t>
  </si>
  <si>
    <t>Снова пытемся выбрать нули</t>
  </si>
  <si>
    <t>Расчет обшего времени</t>
  </si>
  <si>
    <t>Работник A - работа 3 - 3 ед времени</t>
  </si>
  <si>
    <t>Работник B - работа 2 - 4 ед времени</t>
  </si>
  <si>
    <t>Работник C -работа 1 - 8 ед времени</t>
  </si>
  <si>
    <t>Работник D - работа 4 - 11 ед времени</t>
  </si>
  <si>
    <t>ед вр</t>
  </si>
  <si>
    <t>x1</t>
  </si>
  <si>
    <t>Постановка задачи</t>
  </si>
  <si>
    <t>Задание 1 - графический метод</t>
  </si>
  <si>
    <t>Из дано следует система ограничений:</t>
  </si>
  <si>
    <t>x1 &gt;= 0</t>
  </si>
  <si>
    <t>x2 &gt;=0</t>
  </si>
  <si>
    <t>x1 *x1 - 2x2 +x2 &lt;= 3</t>
  </si>
  <si>
    <t>Далее необходимо определить эту область на плоскости:</t>
  </si>
  <si>
    <t xml:space="preserve">Для построения грфика параболы необходимо знать: </t>
  </si>
  <si>
    <t xml:space="preserve">Точки пересечения с осями </t>
  </si>
  <si>
    <t>Вершину параболы</t>
  </si>
  <si>
    <t>x1 = (-2 / 2 * -1) = 1</t>
  </si>
  <si>
    <t>Более удобный вид:</t>
  </si>
  <si>
    <t>y = 4</t>
  </si>
  <si>
    <t>x = 1</t>
  </si>
  <si>
    <t>Четко видно в граф интерфейсе на сайте desmos</t>
  </si>
  <si>
    <t xml:space="preserve">Ox :: (x1 = 0) :: -0+0+3=3 </t>
  </si>
  <si>
    <t>x2 &lt;= - (x1*x1) +2x1 + 3</t>
  </si>
  <si>
    <t>x2 = -(1^2) + 2*1 + 3 = 4</t>
  </si>
  <si>
    <t xml:space="preserve">}--&gt; квадратное уравнение -(x1*x1) + 2x1 + 3 = 0 </t>
  </si>
  <si>
    <t>Oy :: (y = 0) :: (-1,3)</t>
  </si>
  <si>
    <t>Oy (3,0); (0,3)</t>
  </si>
  <si>
    <t>Ox (3,0)</t>
  </si>
  <si>
    <t>Возможные точки экстремума:</t>
  </si>
  <si>
    <t>А :: пересечение Ox и параболы :: (3,0)</t>
  </si>
  <si>
    <t>Значение функции в каждой из точек</t>
  </si>
  <si>
    <t>L(A) = 2*3+0 = 6</t>
  </si>
  <si>
    <t>L(B) = 2*0 + 3 = 3</t>
  </si>
  <si>
    <t>L(C) = 2*1 +4 =6</t>
  </si>
  <si>
    <t>Поиск Решений Задача 1</t>
  </si>
  <si>
    <t>x2</t>
  </si>
  <si>
    <t>L</t>
  </si>
  <si>
    <t>Далее необходимо найти глобальный экстремум</t>
  </si>
  <si>
    <t xml:space="preserve"> C :: пересечение осей :: (0,0)</t>
  </si>
  <si>
    <t>??</t>
  </si>
  <si>
    <t>Анализ точек на дуге параболы:</t>
  </si>
  <si>
    <t>На дуге параболы ограничение выполняется как равенство: x2 =-(x1*x1) +2x1+3</t>
  </si>
  <si>
    <t>Далее необходимио подставить это выражение в целевую функцию</t>
  </si>
  <si>
    <t>L = 2x1 +x2 = 2x1 + (-(x1*x1)+2x1+3)</t>
  </si>
  <si>
    <t>L = - (x1*x1)+4x1+3</t>
  </si>
  <si>
    <t xml:space="preserve"> }--&gt; Функция одной переменной на промежутке от [0,3]</t>
  </si>
  <si>
    <t>Далее необходимо найти вершину новой пораболы :: x1* = 4/(2*-1) = 2</t>
  </si>
  <si>
    <t>Теперь найдя x1* мы можем найти соответствующее значение x2 из уравнения параболы :: x2 = - (2*2) + 2*2+3 = 3</t>
  </si>
  <si>
    <t>D :: Точки(ка) на дуге параболы между P1 и P2, где функция может достигать экстремума</t>
  </si>
  <si>
    <t>Точка экстремума :: (2,3) = 2*2+3 = 7</t>
  </si>
  <si>
    <t>L(D) = 2*2+3 = 7</t>
  </si>
  <si>
    <t xml:space="preserve">Ответ: </t>
  </si>
  <si>
    <t>Наибольшее значение 7 достигается в точке (2,3)</t>
  </si>
  <si>
    <t>Наименьшее значение 0 достигается в точке (0,0)</t>
  </si>
  <si>
    <t>рг</t>
  </si>
  <si>
    <t>Задание 1 - метод множетелей лагранжа</t>
  </si>
  <si>
    <r>
      <t>L(</t>
    </r>
    <r>
      <rPr>
        <i/>
        <sz val="11"/>
        <color theme="1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charset val="204"/>
        <scheme val="minor"/>
      </rPr>
      <t>1​,</t>
    </r>
    <r>
      <rPr>
        <i/>
        <sz val="11"/>
        <color theme="1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charset val="204"/>
        <scheme val="minor"/>
      </rPr>
      <t>2​,</t>
    </r>
    <r>
      <rPr>
        <i/>
        <sz val="11"/>
        <color theme="1"/>
        <rFont val="Calibri"/>
        <family val="2"/>
        <charset val="204"/>
        <scheme val="minor"/>
      </rPr>
      <t>λ</t>
    </r>
    <r>
      <rPr>
        <sz val="11"/>
        <color theme="1"/>
        <rFont val="Calibri"/>
        <family val="2"/>
        <charset val="204"/>
        <scheme val="minor"/>
      </rPr>
      <t>) = 3x1*x1 - x1*x2 + 3x2 + λ(3 -x1-x2)</t>
    </r>
  </si>
  <si>
    <t>Составление функции Лагранжа:</t>
  </si>
  <si>
    <t>Нахождение частных производных</t>
  </si>
  <si>
    <t>dL/dx1</t>
  </si>
  <si>
    <t>dL/dx2</t>
  </si>
  <si>
    <t>dL/dλ</t>
  </si>
  <si>
    <t>6x1 - x2 - λ = 0</t>
  </si>
  <si>
    <t>-x1 +3  - λ = 0</t>
  </si>
  <si>
    <t>3 - x1 - x2 = 0</t>
  </si>
  <si>
    <t>Теперь необходимо решить систему</t>
  </si>
  <si>
    <t>:: 1</t>
  </si>
  <si>
    <t>:: 2</t>
  </si>
  <si>
    <t>:: 3</t>
  </si>
  <si>
    <t>λ = 3 -x1</t>
  </si>
  <si>
    <t xml:space="preserve">Из уравнения 2 :: </t>
  </si>
  <si>
    <t xml:space="preserve">Подставив это в уравнение 1 получаем :: </t>
  </si>
  <si>
    <t>}--&gt;</t>
  </si>
  <si>
    <t>7x1 -x2 -3 = 0</t>
  </si>
  <si>
    <t>:: 4</t>
  </si>
  <si>
    <t>x1 + x2 = 3</t>
  </si>
  <si>
    <t>7x1 - x2 = 3</t>
  </si>
  <si>
    <t>+</t>
  </si>
  <si>
    <t>8x1 = 6 }--&gt; x1 = 3/4</t>
  </si>
  <si>
    <t>Решить систему из уравнений 3 и 4</t>
  </si>
  <si>
    <t>Если подставить x1 = 3/4 в уравнение 3</t>
  </si>
  <si>
    <t>3/4 + x2 = 3 =&gt; x2 = 9/4</t>
  </si>
  <si>
    <t>Теперь нужно найти λ из уравнения 2</t>
  </si>
  <si>
    <t>λ = 3 - 3/4 = 9/4</t>
  </si>
  <si>
    <t xml:space="preserve"> </t>
  </si>
  <si>
    <t xml:space="preserve">6x1 -x2 -(3-x1) = 0 </t>
  </si>
  <si>
    <t>ОТВЕТ</t>
  </si>
  <si>
    <t>x1 = 3/4</t>
  </si>
  <si>
    <t>x2 = 9/4</t>
  </si>
  <si>
    <t>L = 6.75</t>
  </si>
  <si>
    <t>P(B)</t>
  </si>
  <si>
    <t>P(D)</t>
  </si>
  <si>
    <t>P(C)</t>
  </si>
  <si>
    <t>0.9</t>
  </si>
  <si>
    <t>0.88</t>
  </si>
  <si>
    <t>0.95</t>
  </si>
  <si>
    <t>0.8</t>
  </si>
  <si>
    <t>0.7</t>
  </si>
  <si>
    <t>P(E)</t>
  </si>
  <si>
    <t>`</t>
  </si>
  <si>
    <t>P(A)</t>
  </si>
  <si>
    <t>Система состоит из двух блоков, соединенных последовательно. 85 Испытаний</t>
  </si>
  <si>
    <t>0.1</t>
  </si>
  <si>
    <t>1.2</t>
  </si>
  <si>
    <t>0.05</t>
  </si>
  <si>
    <t>0.2</t>
  </si>
  <si>
    <t>0.3</t>
  </si>
  <si>
    <t xml:space="preserve">P(отказ блок 1) </t>
  </si>
  <si>
    <t xml:space="preserve">P(отказ блок 2) </t>
  </si>
  <si>
    <t xml:space="preserve">P(работа блок 1) </t>
  </si>
  <si>
    <t xml:space="preserve">P(работа блок 2) </t>
  </si>
  <si>
    <t>Фомула расчета для последовательного соединения: P = P₁ × P₂ × ... × Pₙ</t>
  </si>
  <si>
    <t>0.1 × 0.12 × 0.05 = 0.0006</t>
  </si>
  <si>
    <t>0.2 × 0.3 = 0.06</t>
  </si>
  <si>
    <t>1 - 0.06 = 0.94</t>
  </si>
  <si>
    <t>1 - 0.0006 = 0.9994</t>
  </si>
  <si>
    <t>P(аналит) = P(работа_блок1) × P(работа_блок2) = 0.9994 × 0.94 = 0.939436</t>
  </si>
  <si>
    <t>Шаг 1. Аналитический расчет надежности системы</t>
  </si>
  <si>
    <t>Шаг 2. Метод Монте-Карло для оценки надежности</t>
  </si>
  <si>
    <t>Алгоритм одного испытания:</t>
  </si>
  <si>
    <t>1. Для каждого элемента генерируем случайное число r ∈ [0;1]</t>
  </si>
  <si>
    <t>2. Если r ≤ P(элемента), элемент работает, иначе - отказал</t>
  </si>
  <si>
    <t>3. Блок работает, если работает хотя бы один его элемент</t>
  </si>
  <si>
    <t>4. Система работает, если работают оба блока</t>
  </si>
  <si>
    <t>№</t>
  </si>
  <si>
    <t>r(A)</t>
  </si>
  <si>
    <t>r(B)</t>
  </si>
  <si>
    <t>r(C)</t>
  </si>
  <si>
    <t>r(D)</t>
  </si>
  <si>
    <t>r(E)</t>
  </si>
  <si>
    <t>E</t>
  </si>
  <si>
    <t>Блок1</t>
  </si>
  <si>
    <t>Блок2</t>
  </si>
  <si>
    <t>Блок 1</t>
  </si>
  <si>
    <t>Блок 2</t>
  </si>
  <si>
    <t>&amp;&amp;</t>
  </si>
  <si>
    <t>||</t>
  </si>
  <si>
    <t>K - Количество успешных испытаний</t>
  </si>
  <si>
    <t>N - Общее количество испытаний</t>
  </si>
  <si>
    <t>-</t>
  </si>
  <si>
    <t>Результат</t>
  </si>
  <si>
    <t>Шаг 3. Рассчет абсолютной погрешности</t>
  </si>
  <si>
    <t>|P* - P|=</t>
  </si>
  <si>
    <t>P</t>
  </si>
  <si>
    <t>P*</t>
  </si>
  <si>
    <t>P* - P=</t>
  </si>
  <si>
    <t>Оценка надежности: P* = K / N</t>
  </si>
  <si>
    <t>ОТВЕТ:</t>
  </si>
  <si>
    <t>P*=</t>
  </si>
  <si>
    <t>|P* - P|</t>
  </si>
  <si>
    <t>3 вариант</t>
  </si>
  <si>
    <t>Шаг 1.  Алгоритм моделирования одного испытания</t>
  </si>
  <si>
    <t>Основной цикл (пока t_текущее &lt; T):</t>
  </si>
  <si>
    <t>1. Определяем ближайшее событие:</t>
  </si>
  <si>
    <t>Следующее поступление заявки: t_след_заявка</t>
  </si>
  <si>
    <t>Освобождение каналов: канал1_свободен, канал2_свободен</t>
  </si>
  <si>
    <t>t_событие = min(t_след_заявка, канал1_свободен, канал2_свободен)</t>
  </si>
  <si>
    <t>1. Если t_событие &gt; T → завершаем моделирование</t>
  </si>
  <si>
    <t>2. t_текущее = t_событие</t>
  </si>
  <si>
    <t>3. Обрабатываем события в момент t_текущее:</t>
  </si>
  <si>
    <t>Если событие - поступление заявки:</t>
  </si>
  <si>
    <t>Если есть свободный канал:</t>
  </si>
  <si>
    <t>Назначаем заявку на свободный канал</t>
  </si>
  <si>
    <t>Устанавливаем время освобождения канала: t_текущее + 1</t>
  </si>
  <si>
    <t>Если оба канала заняты → отказ</t>
  </si>
  <si>
    <t>Генерируем следующую заявку: t_след_заявка = t_текущее + Exp(λ=4)</t>
  </si>
  <si>
    <t>Если событие - освобождение канала:</t>
  </si>
  <si>
    <t>Увеличиваем счетчик обслуженных заявок: обслужено += 1</t>
  </si>
  <si>
    <t>using System;</t>
  </si>
  <si>
    <t>using System.Collections.Generic;</t>
  </si>
  <si>
    <t>{</t>
  </si>
  <si>
    <t xml:space="preserve">    private Random random = new Random();</t>
  </si>
  <si>
    <t xml:space="preserve">    private double канал1Освободится = 0;</t>
  </si>
  <si>
    <t xml:space="preserve">    private double канал2Освободится = 0;</t>
  </si>
  <si>
    <t xml:space="preserve">    private int обслужено = 0;</t>
  </si>
  <si>
    <t xml:space="preserve">    private double ЭкспоненциальноеВремя(double lambda)</t>
  </si>
  <si>
    <t xml:space="preserve">    {</t>
  </si>
  <si>
    <t xml:space="preserve">        double u = random.NextDouble();</t>
  </si>
  <si>
    <t xml:space="preserve">        return -Math.Log(1 - u) / lambda;</t>
  </si>
  <si>
    <t xml:space="preserve">    }</t>
  </si>
  <si>
    <t xml:space="preserve">        double текущееВремя = 0;</t>
  </si>
  <si>
    <t xml:space="preserve">        double времяСледующейЗаявки = ЭкспоненциальноеВремя(lambda);</t>
  </si>
  <si>
    <t xml:space="preserve">        while (текущееВремя &lt; времяМоделирования)</t>
  </si>
  <si>
    <t xml:space="preserve">        {</t>
  </si>
  <si>
    <t xml:space="preserve">            double ближайшееСобытие = времяСледующейЗаявки;</t>
  </si>
  <si>
    <t xml:space="preserve">            </t>
  </si>
  <si>
    <t xml:space="preserve">            if (ближайшееСобытие &gt; времяМоделирования)</t>
  </si>
  <si>
    <t xml:space="preserve">                break;</t>
  </si>
  <si>
    <t xml:space="preserve">            текущееВремя = ближайшееСобытие;</t>
  </si>
  <si>
    <t xml:space="preserve">            ОбработатьСобытия(текущееВремя, ref времяСледующейЗаявки);</t>
  </si>
  <si>
    <t xml:space="preserve">        }</t>
  </si>
  <si>
    <t xml:space="preserve">            обслужено++;</t>
  </si>
  <si>
    <t xml:space="preserve">        return обслужено;</t>
  </si>
  <si>
    <t xml:space="preserve">    private void ОбработатьСобытия(double текущееВремя, ref double времяСледующейЗаявки)</t>
  </si>
  <si>
    <t xml:space="preserve">        if (Math.Abs(канал1Освободится - текущееВремя) &lt; 0.0001)</t>
  </si>
  <si>
    <t xml:space="preserve">            канал1Освободится = 0;</t>
  </si>
  <si>
    <t xml:space="preserve">        if (Math.Abs(канал2Освободится - текущееВремя) &lt; 0.0001)</t>
  </si>
  <si>
    <t xml:space="preserve">            канал2Освободится = 0;</t>
  </si>
  <si>
    <t xml:space="preserve">        if (Math.Abs(времяСледующейЗаявки - текущееВремя) &lt; 0.0001)</t>
  </si>
  <si>
    <t xml:space="preserve">            ОбработатьЗаявку(текущееВремя);</t>
  </si>
  <si>
    <t xml:space="preserve">            времяСледующейЗаявки = текущееВремя + ЭкспоненциальноеВремя(lambda);</t>
  </si>
  <si>
    <t xml:space="preserve">    private void ОбработатьЗаявку(double времяПоступления)</t>
  </si>
  <si>
    <t xml:space="preserve">        if (канал1Освободится &lt;= времяПоступления)</t>
  </si>
  <si>
    <t xml:space="preserve">        else if (канал2Освободится &lt;= времяПоступления)</t>
  </si>
  <si>
    <t xml:space="preserve">            канал2Освободится = времяПоступления + 1.0;</t>
  </si>
  <si>
    <t xml:space="preserve">    public int ПолучитьОбслуженные() =&gt; обслужено;</t>
  </si>
  <si>
    <t xml:space="preserve">    public void Сбросить()</t>
  </si>
  <si>
    <t xml:space="preserve">        канал1Освободится = 0;</t>
  </si>
  <si>
    <t xml:space="preserve">        канал2Освободится = 0;</t>
  </si>
  <si>
    <t xml:space="preserve">        обслужено = 0;</t>
  </si>
  <si>
    <t>}</t>
  </si>
  <si>
    <t xml:space="preserve">Алгоритм решения представлен кодом </t>
  </si>
  <si>
    <t>Шаг 2: Моделирование</t>
  </si>
  <si>
    <t>Класс Трехканальная_СМО, который представляет собой сущность трехканальной СМО</t>
  </si>
  <si>
    <t>class Program</t>
  </si>
  <si>
    <t xml:space="preserve">    static void Main()</t>
  </si>
  <si>
    <t xml:space="preserve">        int общееКоличествоОбслуженных = 0;</t>
  </si>
  <si>
    <t xml:space="preserve">        int количествоИспытаний = 85;</t>
  </si>
  <si>
    <t xml:space="preserve">        Console.WriteLine("Проведение 85 испытаний методом Монте-Карло:");</t>
  </si>
  <si>
    <t xml:space="preserve">        Console.WriteLine("№ испытания\tОбслужено заявок");</t>
  </si>
  <si>
    <t xml:space="preserve">        for (int i = 1; i &lt;= количествоИспытаний; i++)</t>
  </si>
  <si>
    <t xml:space="preserve">            система.Сбросить();</t>
  </si>
  <si>
    <t xml:space="preserve">            общееКоличествоОбслуженных += обслужено;</t>
  </si>
  <si>
    <t xml:space="preserve">            Console.WriteLine($"{i}\t\t{обслужено}");</t>
  </si>
  <si>
    <t xml:space="preserve">        double математическоеОжидание = (double)общееКоличествоОбслуженных / количествоИспытаний;</t>
  </si>
  <si>
    <t xml:space="preserve">        Console.WriteLine($"\nРезультаты:");</t>
  </si>
  <si>
    <t>Точка входа в программу. Проведение нужного количества испытаний</t>
  </si>
  <si>
    <t>Потсавновка задачи</t>
  </si>
  <si>
    <t>public class Двухканальная_СМО</t>
  </si>
  <si>
    <t xml:space="preserve">    private double lambda = 4.0;</t>
  </si>
  <si>
    <t xml:space="preserve">    public int Моделировать(double времяМоделирования = 6.0)</t>
  </si>
  <si>
    <t xml:space="preserve">            if (канал1Освободится &gt; текущееВремя &amp;&amp; канал1Освободится &lt; ближайшееСобытие)</t>
  </si>
  <si>
    <t xml:space="preserve">                ближайшееСобытие = канал1Освободится;</t>
  </si>
  <si>
    <t xml:space="preserve">            if (канал2Освободится &gt; текущееВремя &amp;&amp; канал2Освободится &lt; ближайшееСобытие)</t>
  </si>
  <si>
    <t xml:space="preserve">                ближайшееСобытие = канал2Освободится;</t>
  </si>
  <si>
    <t xml:space="preserve">            канал1Освободится = времяПоступления + 1.0;</t>
  </si>
  <si>
    <t xml:space="preserve">        var система = new Двухканальная_СМО();</t>
  </si>
  <si>
    <t xml:space="preserve">        </t>
  </si>
  <si>
    <t xml:space="preserve">            int обслужено = система.Моделировать(6.0);</t>
  </si>
  <si>
    <t xml:space="preserve">        Console.WriteLine($"Общее количество обслуженных заявок: {общееКоличествоОбслуженных}");</t>
  </si>
  <si>
    <t xml:space="preserve">        Console.WriteLine($"Математическое ожидание: {математическоеОжидание:F2}");</t>
  </si>
  <si>
    <t>Двухканальная СМО</t>
  </si>
  <si>
    <t>Длительность обслуживания каждой заявки равна 1 мин.</t>
  </si>
  <si>
    <t>Пуассоновский поток заявок. Время между заявками τ распределено экспоненциально: f(τ) = 4e^(-4τ).</t>
  </si>
  <si>
    <t>Время моделирования Т=6 мин.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</si>
</sst>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Arial"/>
      <family val="2"/>
      <charset val="204"/>
    </font>
    <font>
      <sz val="13.95"/>
      <color rgb="FF000000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2"/>
      <color rgb="FF000000"/>
      <name val="Arial"/>
      <family val="2"/>
      <charset val="204"/>
    </font>
    <font>
      <sz val="12"/>
      <color rgb="FFFF0000"/>
      <name val="Calibri"/>
      <family val="2"/>
      <scheme val="minor"/>
    </font>
    <font>
      <sz val="26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charset val="204"/>
      <scheme val="minor"/>
    </font>
    <font>
      <sz val="11"/>
      <color rgb="FFFFFF00"/>
      <name val="Calibri"/>
      <family val="2"/>
      <charset val="204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2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0"/>
      <color theme="1"/>
      <name val="Segoe UI"/>
      <family val="2"/>
      <charset val="204"/>
    </font>
    <font>
      <sz val="8"/>
      <color theme="1"/>
      <name val="Arial Black"/>
      <family val="2"/>
      <charset val="204"/>
    </font>
    <font>
      <sz val="14"/>
      <color theme="1"/>
      <name val="Arial Black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4"/>
      <color theme="8" tint="-0.249977111117893"/>
      <name val="Arial Black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3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4" fillId="0" borderId="9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2" fontId="4" fillId="0" borderId="4" xfId="0" applyNumberFormat="1" applyFont="1" applyFill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18" xfId="0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6" fillId="6" borderId="9" xfId="0" applyFont="1" applyFill="1" applyBorder="1" applyAlignment="1">
      <alignment horizontal="center" vertical="center" wrapText="1"/>
    </xf>
    <xf numFmtId="2" fontId="4" fillId="0" borderId="0" xfId="0" applyNumberFormat="1" applyFont="1" applyBorder="1" applyAlignment="1">
      <alignment horizontal="center" vertical="center" wrapText="1"/>
    </xf>
    <xf numFmtId="0" fontId="0" fillId="9" borderId="18" xfId="0" applyFill="1" applyBorder="1"/>
    <xf numFmtId="0" fontId="0" fillId="9" borderId="4" xfId="0" applyFill="1" applyBorder="1"/>
    <xf numFmtId="0" fontId="8" fillId="0" borderId="0" xfId="0" applyFont="1" applyAlignme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7" fillId="0" borderId="32" xfId="0" applyFont="1" applyBorder="1"/>
    <xf numFmtId="0" fontId="7" fillId="0" borderId="23" xfId="0" applyFont="1" applyBorder="1"/>
    <xf numFmtId="0" fontId="7" fillId="0" borderId="28" xfId="0" applyFont="1" applyBorder="1"/>
    <xf numFmtId="0" fontId="7" fillId="0" borderId="37" xfId="0" applyFont="1" applyBorder="1"/>
    <xf numFmtId="0" fontId="0" fillId="0" borderId="20" xfId="0" applyFill="1" applyBorder="1"/>
    <xf numFmtId="0" fontId="14" fillId="0" borderId="0" xfId="0" applyFont="1"/>
    <xf numFmtId="0" fontId="15" fillId="0" borderId="23" xfId="0" applyFont="1" applyBorder="1"/>
    <xf numFmtId="0" fontId="15" fillId="0" borderId="37" xfId="0" applyFont="1" applyBorder="1"/>
    <xf numFmtId="0" fontId="15" fillId="0" borderId="33" xfId="0" applyFont="1" applyBorder="1"/>
    <xf numFmtId="0" fontId="15" fillId="0" borderId="24" xfId="0" applyFont="1" applyBorder="1"/>
    <xf numFmtId="0" fontId="15" fillId="0" borderId="28" xfId="0" applyFont="1" applyBorder="1"/>
    <xf numFmtId="0" fontId="15" fillId="0" borderId="35" xfId="0" applyFont="1" applyBorder="1"/>
    <xf numFmtId="0" fontId="12" fillId="0" borderId="23" xfId="0" applyFont="1" applyBorder="1"/>
    <xf numFmtId="0" fontId="12" fillId="0" borderId="37" xfId="0" applyFont="1" applyBorder="1"/>
    <xf numFmtId="0" fontId="15" fillId="0" borderId="32" xfId="0" applyFont="1" applyBorder="1"/>
    <xf numFmtId="0" fontId="15" fillId="0" borderId="36" xfId="0" applyFont="1" applyBorder="1"/>
    <xf numFmtId="0" fontId="15" fillId="0" borderId="27" xfId="0" applyFont="1" applyBorder="1"/>
    <xf numFmtId="0" fontId="12" fillId="0" borderId="0" xfId="0" applyFont="1"/>
    <xf numFmtId="0" fontId="0" fillId="11" borderId="32" xfId="0" applyFill="1" applyBorder="1"/>
    <xf numFmtId="0" fontId="7" fillId="12" borderId="23" xfId="0" applyFont="1" applyFill="1" applyBorder="1"/>
    <xf numFmtId="0" fontId="0" fillId="12" borderId="36" xfId="0" applyFill="1" applyBorder="1"/>
    <xf numFmtId="0" fontId="7" fillId="13" borderId="37" xfId="0" applyFont="1" applyFill="1" applyBorder="1"/>
    <xf numFmtId="0" fontId="12" fillId="13" borderId="0" xfId="0" applyFont="1" applyFill="1"/>
    <xf numFmtId="0" fontId="7" fillId="13" borderId="28" xfId="0" applyFont="1" applyFill="1" applyBorder="1"/>
    <xf numFmtId="0" fontId="7" fillId="13" borderId="33" xfId="0" applyFont="1" applyFill="1" applyBorder="1"/>
    <xf numFmtId="0" fontId="7" fillId="0" borderId="33" xfId="0" applyFont="1" applyFill="1" applyBorder="1"/>
    <xf numFmtId="0" fontId="7" fillId="0" borderId="37" xfId="0" applyFont="1" applyFill="1" applyBorder="1"/>
    <xf numFmtId="0" fontId="7" fillId="0" borderId="23" xfId="0" applyFont="1" applyFill="1" applyBorder="1"/>
    <xf numFmtId="0" fontId="0" fillId="0" borderId="36" xfId="0" applyFill="1" applyBorder="1"/>
    <xf numFmtId="0" fontId="7" fillId="0" borderId="28" xfId="0" applyFont="1" applyFill="1" applyBorder="1"/>
    <xf numFmtId="0" fontId="12" fillId="0" borderId="0" xfId="0" applyFont="1" applyFill="1"/>
    <xf numFmtId="0" fontId="13" fillId="0" borderId="0" xfId="0" applyFont="1"/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11" borderId="23" xfId="0" applyFill="1" applyBorder="1"/>
    <xf numFmtId="0" fontId="0" fillId="0" borderId="23" xfId="0" applyFill="1" applyBorder="1"/>
    <xf numFmtId="0" fontId="18" fillId="11" borderId="23" xfId="0" applyFont="1" applyFill="1" applyBorder="1"/>
    <xf numFmtId="0" fontId="0" fillId="10" borderId="5" xfId="0" applyFill="1" applyBorder="1"/>
    <xf numFmtId="0" fontId="0" fillId="10" borderId="0" xfId="0" applyFill="1" applyBorder="1"/>
    <xf numFmtId="0" fontId="0" fillId="10" borderId="8" xfId="0" applyFill="1" applyBorder="1"/>
    <xf numFmtId="0" fontId="0" fillId="10" borderId="4" xfId="0" applyFill="1" applyBorder="1"/>
    <xf numFmtId="0" fontId="0" fillId="0" borderId="1" xfId="0" applyFill="1" applyBorder="1"/>
    <xf numFmtId="0" fontId="0" fillId="0" borderId="5" xfId="0" applyFill="1" applyBorder="1"/>
    <xf numFmtId="0" fontId="0" fillId="0" borderId="2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0" xfId="0" applyFill="1" applyBorder="1"/>
    <xf numFmtId="0" fontId="0" fillId="0" borderId="3" xfId="0" applyFill="1" applyBorder="1"/>
    <xf numFmtId="0" fontId="0" fillId="0" borderId="8" xfId="0" applyFill="1" applyBorder="1"/>
    <xf numFmtId="0" fontId="0" fillId="11" borderId="0" xfId="0" applyFill="1" applyBorder="1"/>
    <xf numFmtId="0" fontId="0" fillId="11" borderId="7" xfId="0" applyFill="1" applyBorder="1"/>
    <xf numFmtId="0" fontId="0" fillId="11" borderId="4" xfId="0" applyFill="1" applyBorder="1"/>
    <xf numFmtId="0" fontId="19" fillId="0" borderId="0" xfId="0" applyFont="1" applyFill="1"/>
    <xf numFmtId="0" fontId="19" fillId="0" borderId="0" xfId="0" applyFont="1"/>
    <xf numFmtId="0" fontId="8" fillId="0" borderId="0" xfId="0" applyFont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23" fillId="0" borderId="0" xfId="0" applyFont="1"/>
    <xf numFmtId="0" fontId="24" fillId="0" borderId="0" xfId="0" applyFont="1"/>
    <xf numFmtId="0" fontId="0" fillId="0" borderId="0" xfId="0" applyFill="1" applyBorder="1" applyAlignment="1">
      <alignment vertical="center" wrapText="1"/>
    </xf>
    <xf numFmtId="0" fontId="3" fillId="0" borderId="0" xfId="0" applyFont="1"/>
    <xf numFmtId="0" fontId="26" fillId="0" borderId="0" xfId="0" applyFont="1"/>
    <xf numFmtId="0" fontId="0" fillId="0" borderId="23" xfId="0" applyBorder="1" applyAlignment="1">
      <alignment horizontal="center"/>
    </xf>
    <xf numFmtId="0" fontId="20" fillId="0" borderId="41" xfId="0" applyFont="1" applyBorder="1"/>
    <xf numFmtId="0" fontId="27" fillId="11" borderId="43" xfId="0" applyFont="1" applyFill="1" applyBorder="1" applyAlignment="1">
      <alignment vertical="center"/>
    </xf>
    <xf numFmtId="0" fontId="27" fillId="11" borderId="45" xfId="0" applyFont="1" applyFill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2" fontId="0" fillId="0" borderId="0" xfId="0" applyNumberFormat="1"/>
    <xf numFmtId="0" fontId="28" fillId="0" borderId="0" xfId="0" applyFont="1" applyAlignment="1">
      <alignment vertical="top"/>
    </xf>
    <xf numFmtId="0" fontId="29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1" fillId="0" borderId="0" xfId="0" applyFont="1" applyAlignment="1">
      <alignment vertical="center"/>
    </xf>
    <xf numFmtId="0" fontId="6" fillId="0" borderId="0" xfId="0" applyFont="1"/>
    <xf numFmtId="0" fontId="32" fillId="0" borderId="0" xfId="0" applyFont="1" applyAlignment="1">
      <alignment horizontal="left" vertical="center"/>
    </xf>
    <xf numFmtId="0" fontId="4" fillId="0" borderId="15" xfId="0" applyFont="1" applyBorder="1" applyAlignment="1">
      <alignment horizontal="right" vertical="center" wrapText="1"/>
    </xf>
    <xf numFmtId="0" fontId="4" fillId="0" borderId="16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0" borderId="0" xfId="0" applyFont="1" applyAlignment="1">
      <alignment horizontal="left"/>
    </xf>
    <xf numFmtId="0" fontId="10" fillId="10" borderId="1" xfId="0" applyFont="1" applyFill="1" applyBorder="1" applyAlignment="1">
      <alignment horizontal="center"/>
    </xf>
    <xf numFmtId="0" fontId="10" fillId="10" borderId="5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10" borderId="0" xfId="0" applyFont="1" applyFill="1" applyBorder="1" applyAlignment="1">
      <alignment horizontal="center"/>
    </xf>
    <xf numFmtId="0" fontId="10" fillId="10" borderId="7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10" fillId="10" borderId="8" xfId="0" applyFont="1" applyFill="1" applyBorder="1" applyAlignment="1">
      <alignment horizontal="center"/>
    </xf>
    <xf numFmtId="0" fontId="10" fillId="10" borderId="4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9" borderId="19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11" borderId="0" xfId="0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22" fillId="0" borderId="38" xfId="0" applyFont="1" applyBorder="1" applyAlignment="1">
      <alignment horizontal="left"/>
    </xf>
    <xf numFmtId="0" fontId="22" fillId="0" borderId="39" xfId="0" applyFont="1" applyBorder="1" applyAlignment="1">
      <alignment horizontal="left"/>
    </xf>
    <xf numFmtId="0" fontId="22" fillId="0" borderId="40" xfId="0" applyFont="1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15" borderId="57" xfId="0" applyFill="1" applyBorder="1" applyAlignment="1">
      <alignment horizontal="center"/>
    </xf>
    <xf numFmtId="0" fontId="0" fillId="15" borderId="58" xfId="0" applyFill="1" applyBorder="1" applyAlignment="1">
      <alignment horizontal="center"/>
    </xf>
    <xf numFmtId="0" fontId="0" fillId="15" borderId="59" xfId="0" applyFill="1" applyBorder="1" applyAlignment="1">
      <alignment horizontal="center"/>
    </xf>
    <xf numFmtId="0" fontId="0" fillId="15" borderId="60" xfId="0" applyFill="1" applyBorder="1" applyAlignment="1">
      <alignment horizontal="center"/>
    </xf>
    <xf numFmtId="0" fontId="0" fillId="15" borderId="61" xfId="0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5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6" xfId="0" applyBorder="1" applyAlignment="1">
      <alignment horizontal="center"/>
    </xf>
    <xf numFmtId="0" fontId="21" fillId="0" borderId="53" xfId="0" applyFont="1" applyBorder="1" applyAlignment="1">
      <alignment horizontal="left"/>
    </xf>
    <xf numFmtId="0" fontId="21" fillId="0" borderId="33" xfId="0" applyFont="1" applyBorder="1" applyAlignment="1">
      <alignment horizontal="left"/>
    </xf>
    <xf numFmtId="0" fontId="21" fillId="0" borderId="54" xfId="0" applyFont="1" applyBorder="1" applyAlignment="1">
      <alignment horizontal="left"/>
    </xf>
    <xf numFmtId="0" fontId="0" fillId="15" borderId="36" xfId="0" applyFill="1" applyBorder="1" applyAlignment="1">
      <alignment horizontal="center"/>
    </xf>
    <xf numFmtId="0" fontId="0" fillId="15" borderId="48" xfId="0" applyFill="1" applyBorder="1" applyAlignment="1">
      <alignment horizontal="center"/>
    </xf>
    <xf numFmtId="0" fontId="0" fillId="15" borderId="49" xfId="0" applyFill="1" applyBorder="1" applyAlignment="1">
      <alignment horizontal="center"/>
    </xf>
    <xf numFmtId="0" fontId="0" fillId="15" borderId="47" xfId="0" applyFill="1" applyBorder="1" applyAlignment="1">
      <alignment horizontal="center"/>
    </xf>
    <xf numFmtId="0" fontId="0" fillId="15" borderId="24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20" fillId="0" borderId="19" xfId="0" applyFont="1" applyBorder="1" applyAlignment="1">
      <alignment horizontal="left"/>
    </xf>
    <xf numFmtId="0" fontId="20" fillId="0" borderId="46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0" fontId="25" fillId="11" borderId="6" xfId="0" applyFont="1" applyFill="1" applyBorder="1" applyAlignment="1">
      <alignment horizontal="center" vertical="center" wrapText="1"/>
    </xf>
    <xf numFmtId="0" fontId="25" fillId="11" borderId="0" xfId="0" applyFont="1" applyFill="1" applyBorder="1" applyAlignment="1">
      <alignment horizontal="center" vertical="center" wrapText="1"/>
    </xf>
    <xf numFmtId="0" fontId="25" fillId="11" borderId="7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left" wrapText="1"/>
    </xf>
    <xf numFmtId="0" fontId="25" fillId="11" borderId="5" xfId="0" applyFont="1" applyFill="1" applyBorder="1" applyAlignment="1">
      <alignment horizontal="left" wrapText="1"/>
    </xf>
    <xf numFmtId="0" fontId="25" fillId="11" borderId="2" xfId="0" applyFont="1" applyFill="1" applyBorder="1" applyAlignment="1">
      <alignment horizontal="left" wrapText="1"/>
    </xf>
    <xf numFmtId="0" fontId="25" fillId="11" borderId="6" xfId="0" applyFont="1" applyFill="1" applyBorder="1" applyAlignment="1">
      <alignment horizontal="left" wrapText="1"/>
    </xf>
    <xf numFmtId="0" fontId="25" fillId="11" borderId="0" xfId="0" applyFont="1" applyFill="1" applyBorder="1" applyAlignment="1">
      <alignment horizontal="left" wrapText="1"/>
    </xf>
    <xf numFmtId="0" fontId="25" fillId="11" borderId="7" xfId="0" applyFont="1" applyFill="1" applyBorder="1" applyAlignment="1">
      <alignment horizontal="left" wrapText="1"/>
    </xf>
    <xf numFmtId="0" fontId="25" fillId="11" borderId="3" xfId="0" applyFont="1" applyFill="1" applyBorder="1" applyAlignment="1">
      <alignment horizontal="left" wrapText="1"/>
    </xf>
    <xf numFmtId="0" fontId="25" fillId="11" borderId="8" xfId="0" applyFont="1" applyFill="1" applyBorder="1" applyAlignment="1">
      <alignment horizontal="left" wrapText="1"/>
    </xf>
    <xf numFmtId="0" fontId="25" fillId="11" borderId="4" xfId="0" applyFont="1" applyFill="1" applyBorder="1" applyAlignment="1">
      <alignment horizontal="left" wrapText="1"/>
    </xf>
    <xf numFmtId="0" fontId="25" fillId="11" borderId="3" xfId="0" applyFont="1" applyFill="1" applyBorder="1" applyAlignment="1">
      <alignment horizontal="center" vertical="center" wrapText="1"/>
    </xf>
    <xf numFmtId="0" fontId="25" fillId="11" borderId="8" xfId="0" applyFont="1" applyFill="1" applyBorder="1" applyAlignment="1">
      <alignment horizontal="center" vertical="center" wrapText="1"/>
    </xf>
    <xf numFmtId="0" fontId="25" fillId="11" borderId="4" xfId="0" applyFont="1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0" fillId="0" borderId="62" xfId="0" applyFont="1" applyFill="1" applyBorder="1" applyAlignment="1">
      <alignment horizontal="center" vertical="center"/>
    </xf>
    <xf numFmtId="0" fontId="20" fillId="0" borderId="63" xfId="0" applyFont="1" applyFill="1" applyBorder="1" applyAlignment="1">
      <alignment horizontal="center" vertical="center"/>
    </xf>
    <xf numFmtId="0" fontId="20" fillId="0" borderId="64" xfId="0" applyFont="1" applyFill="1" applyBorder="1" applyAlignment="1">
      <alignment horizontal="center" vertical="center"/>
    </xf>
    <xf numFmtId="0" fontId="27" fillId="11" borderId="38" xfId="0" applyFont="1" applyFill="1" applyBorder="1" applyAlignment="1">
      <alignment horizontal="center" vertical="center"/>
    </xf>
    <xf numFmtId="0" fontId="27" fillId="11" borderId="40" xfId="0" applyFont="1" applyFill="1" applyBorder="1" applyAlignment="1">
      <alignment horizontal="center" vertical="center"/>
    </xf>
    <xf numFmtId="0" fontId="27" fillId="11" borderId="41" xfId="0" applyFont="1" applyFill="1" applyBorder="1" applyAlignment="1">
      <alignment horizontal="center" vertical="center"/>
    </xf>
    <xf numFmtId="0" fontId="27" fillId="11" borderId="42" xfId="0" applyFont="1" applyFill="1" applyBorder="1" applyAlignment="1">
      <alignment horizontal="center" vertical="center"/>
    </xf>
    <xf numFmtId="0" fontId="20" fillId="0" borderId="38" xfId="0" applyFont="1" applyBorder="1" applyAlignment="1">
      <alignment horizontal="left"/>
    </xf>
    <xf numFmtId="0" fontId="20" fillId="0" borderId="39" xfId="0" applyFont="1" applyBorder="1" applyAlignment="1">
      <alignment horizontal="left"/>
    </xf>
    <xf numFmtId="0" fontId="20" fillId="0" borderId="40" xfId="0" applyFont="1" applyBorder="1" applyAlignment="1">
      <alignment horizontal="left"/>
    </xf>
    <xf numFmtId="0" fontId="20" fillId="0" borderId="41" xfId="0" applyFont="1" applyBorder="1" applyAlignment="1">
      <alignment horizontal="left"/>
    </xf>
    <xf numFmtId="0" fontId="20" fillId="0" borderId="23" xfId="0" applyFont="1" applyBorder="1" applyAlignment="1">
      <alignment horizontal="left"/>
    </xf>
    <xf numFmtId="0" fontId="20" fillId="0" borderId="42" xfId="0" applyFont="1" applyBorder="1" applyAlignment="1">
      <alignment horizontal="left"/>
    </xf>
    <xf numFmtId="0" fontId="0" fillId="0" borderId="41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23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41" xfId="0" applyBorder="1" applyAlignment="1">
      <alignment horizontal="left"/>
    </xf>
    <xf numFmtId="0" fontId="2" fillId="0" borderId="47" xfId="0" applyFont="1" applyBorder="1" applyAlignment="1">
      <alignment horizontal="left"/>
    </xf>
    <xf numFmtId="0" fontId="2" fillId="0" borderId="48" xfId="0" applyFont="1" applyBorder="1" applyAlignment="1">
      <alignment horizontal="left"/>
    </xf>
    <xf numFmtId="0" fontId="2" fillId="0" borderId="49" xfId="0" applyFont="1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58" xfId="0" applyBorder="1" applyAlignment="1">
      <alignment horizontal="left"/>
    </xf>
    <xf numFmtId="0" fontId="0" fillId="0" borderId="61" xfId="0" applyBorder="1" applyAlignment="1">
      <alignment horizontal="left"/>
    </xf>
    <xf numFmtId="0" fontId="0" fillId="0" borderId="23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2" fontId="30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16933</xdr:colOff>
      <xdr:row>27</xdr:row>
      <xdr:rowOff>16934</xdr:rowOff>
    </xdr:from>
    <xdr:to>
      <xdr:col>9</xdr:col>
      <xdr:colOff>508401</xdr:colOff>
      <xdr:row>59</xdr:row>
      <xdr:rowOff>88953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EF553A-47FF-4953-9DD8-61C71D8D6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7866" y="5748867"/>
          <a:ext cx="6867638" cy="656256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26</xdr:col>
      <xdr:colOff>242384</xdr:colOff>
      <xdr:row>51</xdr:row>
      <xdr:rowOff>10160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CCF26BD-17BF-4795-B6A9-7373B1C2F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03467" y="6333067"/>
          <a:ext cx="7896249" cy="358986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1</xdr:rowOff>
    </xdr:from>
    <xdr:to>
      <xdr:col>26</xdr:col>
      <xdr:colOff>213361</xdr:colOff>
      <xdr:row>69</xdr:row>
      <xdr:rowOff>147083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990CB63-59B0-4584-AF8F-1918F4BB3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0400" y="10088881"/>
          <a:ext cx="7863840" cy="31138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286215</xdr:colOff>
      <xdr:row>9</xdr:row>
      <xdr:rowOff>72632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7568826-8667-4066-9AD1-D86961BC7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34215" cy="17337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6</xdr:col>
      <xdr:colOff>48142</xdr:colOff>
      <xdr:row>16</xdr:row>
      <xdr:rowOff>11534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B118111-FF93-42EF-ADA5-E427BA361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4560"/>
          <a:ext cx="3705742" cy="7430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168349</xdr:rowOff>
    </xdr:from>
    <xdr:ext cx="2836727" cy="1175589"/>
    <xdr:pic>
      <xdr:nvPicPr>
        <xdr:cNvPr id="2" name="Рисунок 1">
          <a:extLst>
            <a:ext uri="{FF2B5EF4-FFF2-40B4-BE49-F238E27FC236}">
              <a16:creationId xmlns:a16="http://schemas.microsoft.com/office/drawing/2014/main" id="{F04C2308-3DAF-4A4B-B517-220E19C5F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32749"/>
          <a:ext cx="2836727" cy="117558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59267</xdr:colOff>
      <xdr:row>15</xdr:row>
      <xdr:rowOff>8467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51AB29E-F22B-4F4F-8141-5898C2B35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45667" cy="294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6</xdr:col>
      <xdr:colOff>23333</xdr:colOff>
      <xdr:row>36</xdr:row>
      <xdr:rowOff>31315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AA724E8-50B4-4C38-87F3-334409A5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81808"/>
          <a:ext cx="3655881" cy="172232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62</xdr:row>
      <xdr:rowOff>0</xdr:rowOff>
    </xdr:from>
    <xdr:to>
      <xdr:col>5</xdr:col>
      <xdr:colOff>595923</xdr:colOff>
      <xdr:row>71</xdr:row>
      <xdr:rowOff>25432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A25B2F9-3EBF-4C82-ADF1-8A48E8798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2621846"/>
          <a:ext cx="3624384" cy="169597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25</xdr:col>
      <xdr:colOff>289889</xdr:colOff>
      <xdr:row>39</xdr:row>
      <xdr:rowOff>112022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E829B62D-E314-4E70-B5EF-7D0C61B50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1250950"/>
          <a:ext cx="6906589" cy="643027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39</xdr:col>
      <xdr:colOff>166063</xdr:colOff>
      <xdr:row>39</xdr:row>
      <xdr:rowOff>144937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C39532B-93DD-4860-8944-E405D4E9E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041091" y="1246909"/>
          <a:ext cx="6897063" cy="65064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222808</xdr:colOff>
      <xdr:row>14</xdr:row>
      <xdr:rowOff>154208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B25017D-D3DE-49D3-8AE4-96C7FD6A7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09208" cy="2714528"/>
        </a:xfrm>
        <a:prstGeom prst="rect">
          <a:avLst/>
        </a:prstGeom>
      </xdr:spPr>
    </xdr:pic>
    <xdr:clientData/>
  </xdr:twoCellAnchor>
  <xdr:twoCellAnchor editAs="oneCell">
    <xdr:from>
      <xdr:col>13</xdr:col>
      <xdr:colOff>11546</xdr:colOff>
      <xdr:row>5</xdr:row>
      <xdr:rowOff>46183</xdr:rowOff>
    </xdr:from>
    <xdr:to>
      <xdr:col>21</xdr:col>
      <xdr:colOff>552291</xdr:colOff>
      <xdr:row>29</xdr:row>
      <xdr:rowOff>174756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DEE7DED-19B6-4814-B534-019C6A58D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58728" y="969819"/>
          <a:ext cx="5436018" cy="5046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42332</xdr:colOff>
      <xdr:row>84</xdr:row>
      <xdr:rowOff>14112</xdr:rowOff>
    </xdr:from>
    <xdr:to>
      <xdr:col>20</xdr:col>
      <xdr:colOff>135182</xdr:colOff>
      <xdr:row>120</xdr:row>
      <xdr:rowOff>49964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7535F95-FE9E-4A48-A621-AD33296EC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6888" y="15423445"/>
          <a:ext cx="5553850" cy="663985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84</xdr:row>
      <xdr:rowOff>0</xdr:rowOff>
    </xdr:from>
    <xdr:to>
      <xdr:col>29</xdr:col>
      <xdr:colOff>270942</xdr:colOff>
      <xdr:row>89</xdr:row>
      <xdr:rowOff>73515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E4F8A20-95E4-44AF-B806-C065515FB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42333" y="15409333"/>
          <a:ext cx="5125165" cy="990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59"/>
  <sheetViews>
    <sheetView zoomScale="24" workbookViewId="0">
      <selection activeCell="D21" sqref="D21:E21"/>
    </sheetView>
  </sheetViews>
  <sheetFormatPr defaultRowHeight="14.4" x14ac:dyDescent="0.3"/>
  <cols>
    <col min="1" max="1" width="11.21875" bestFit="1" customWidth="1"/>
    <col min="2" max="2" width="11.21875" customWidth="1"/>
    <col min="3" max="3" width="18.5546875" customWidth="1"/>
    <col min="6" max="6" width="20.44140625" customWidth="1"/>
    <col min="7" max="7" width="12.88671875" bestFit="1" customWidth="1"/>
    <col min="8" max="8" width="4.5546875" bestFit="1" customWidth="1"/>
    <col min="9" max="9" width="18.77734375" customWidth="1"/>
    <col min="20" max="20" width="10.77734375" customWidth="1"/>
    <col min="21" max="21" width="11.88671875" customWidth="1"/>
  </cols>
  <sheetData>
    <row r="1" spans="2:26" x14ac:dyDescent="0.3">
      <c r="C1" s="178" t="s">
        <v>51</v>
      </c>
      <c r="D1" s="177"/>
      <c r="E1" s="177"/>
      <c r="F1" s="177"/>
      <c r="G1" s="177"/>
      <c r="H1" s="177"/>
      <c r="I1" s="177"/>
      <c r="J1" s="177"/>
      <c r="K1" s="177"/>
      <c r="L1" s="177"/>
      <c r="M1" s="177"/>
    </row>
    <row r="2" spans="2:26" x14ac:dyDescent="0.3"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</row>
    <row r="3" spans="2:26" x14ac:dyDescent="0.3"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</row>
    <row r="6" spans="2:26" ht="20.399999999999999" customHeight="1" thickBot="1" x14ac:dyDescent="0.35">
      <c r="G6" s="179" t="s">
        <v>46</v>
      </c>
      <c r="H6" s="179"/>
      <c r="I6" s="179"/>
      <c r="M6" s="177" t="s">
        <v>33</v>
      </c>
      <c r="N6" s="177"/>
      <c r="O6" s="177"/>
      <c r="P6" s="177"/>
      <c r="Q6" s="177"/>
      <c r="R6" s="177"/>
      <c r="S6" s="177"/>
      <c r="T6" s="177"/>
      <c r="U6" s="177"/>
    </row>
    <row r="7" spans="2:26" ht="22.8" customHeight="1" thickBot="1" x14ac:dyDescent="0.35">
      <c r="B7" s="181" t="s">
        <v>47</v>
      </c>
      <c r="C7" s="181"/>
      <c r="D7" s="181"/>
      <c r="E7" s="181"/>
      <c r="G7" s="180"/>
      <c r="H7" s="180"/>
      <c r="I7" s="180"/>
      <c r="M7" s="170" t="s">
        <v>24</v>
      </c>
      <c r="N7" s="171"/>
      <c r="O7" s="13" t="s">
        <v>11</v>
      </c>
      <c r="P7" s="13" t="s">
        <v>20</v>
      </c>
      <c r="Q7" s="13" t="s">
        <v>21</v>
      </c>
      <c r="R7" s="13" t="s">
        <v>22</v>
      </c>
      <c r="S7" s="22" t="s">
        <v>23</v>
      </c>
      <c r="T7" s="148" t="s">
        <v>25</v>
      </c>
      <c r="U7" s="149"/>
      <c r="W7" s="169" t="s">
        <v>50</v>
      </c>
      <c r="X7" s="169"/>
      <c r="Y7" s="169"/>
      <c r="Z7" s="169"/>
    </row>
    <row r="8" spans="2:26" ht="15" thickBot="1" x14ac:dyDescent="0.35">
      <c r="B8" s="184" t="s">
        <v>0</v>
      </c>
      <c r="C8" s="186" t="s">
        <v>1</v>
      </c>
      <c r="D8" s="184" t="s">
        <v>2</v>
      </c>
      <c r="E8" s="186"/>
      <c r="G8" s="184" t="s">
        <v>19</v>
      </c>
      <c r="H8" s="185"/>
      <c r="I8" s="186"/>
      <c r="M8" s="172"/>
      <c r="N8" s="173"/>
      <c r="O8" s="14">
        <v>20</v>
      </c>
      <c r="P8" s="14">
        <v>14</v>
      </c>
      <c r="Q8" s="14">
        <v>0</v>
      </c>
      <c r="R8" s="14">
        <v>0</v>
      </c>
      <c r="S8" s="28">
        <v>0</v>
      </c>
      <c r="T8" s="150"/>
      <c r="U8" s="151"/>
    </row>
    <row r="9" spans="2:26" ht="15" thickBot="1" x14ac:dyDescent="0.35">
      <c r="B9" s="182"/>
      <c r="C9" s="183"/>
      <c r="D9" s="1" t="s">
        <v>3</v>
      </c>
      <c r="E9" s="2" t="s">
        <v>4</v>
      </c>
      <c r="G9" s="10"/>
      <c r="H9" s="11"/>
      <c r="I9" s="12"/>
      <c r="M9" s="15" t="s">
        <v>21</v>
      </c>
      <c r="N9" s="13">
        <v>0</v>
      </c>
      <c r="O9" s="16">
        <v>2</v>
      </c>
      <c r="P9" s="13">
        <v>6</v>
      </c>
      <c r="Q9" s="13">
        <v>1</v>
      </c>
      <c r="R9" s="13">
        <v>0</v>
      </c>
      <c r="S9" s="13">
        <v>0</v>
      </c>
      <c r="T9" s="18">
        <v>14</v>
      </c>
      <c r="U9" s="24">
        <f>T9/O9</f>
        <v>7</v>
      </c>
    </row>
    <row r="10" spans="2:26" ht="15" thickBot="1" x14ac:dyDescent="0.35">
      <c r="B10" s="3" t="s">
        <v>5</v>
      </c>
      <c r="C10" s="5">
        <v>14</v>
      </c>
      <c r="D10" s="4">
        <v>2</v>
      </c>
      <c r="E10" s="5">
        <v>6</v>
      </c>
      <c r="G10" s="6" t="s">
        <v>12</v>
      </c>
      <c r="H10" s="7" t="s">
        <v>16</v>
      </c>
      <c r="I10" s="8" t="s">
        <v>17</v>
      </c>
      <c r="M10" s="15" t="s">
        <v>22</v>
      </c>
      <c r="N10" s="13">
        <v>0</v>
      </c>
      <c r="O10" s="16">
        <v>5</v>
      </c>
      <c r="P10" s="13">
        <v>2</v>
      </c>
      <c r="Q10" s="13">
        <v>0</v>
      </c>
      <c r="R10" s="13">
        <v>1</v>
      </c>
      <c r="S10" s="13">
        <v>0</v>
      </c>
      <c r="T10" s="13">
        <v>14</v>
      </c>
      <c r="U10" s="25">
        <f>T10/O10</f>
        <v>2.8</v>
      </c>
    </row>
    <row r="11" spans="2:26" ht="15" thickBot="1" x14ac:dyDescent="0.35">
      <c r="B11" s="6" t="s">
        <v>6</v>
      </c>
      <c r="C11" s="8">
        <v>14</v>
      </c>
      <c r="D11" s="7">
        <v>5</v>
      </c>
      <c r="E11" s="8">
        <v>2</v>
      </c>
      <c r="G11" s="6" t="s">
        <v>13</v>
      </c>
      <c r="H11" s="7" t="s">
        <v>16</v>
      </c>
      <c r="I11" s="8" t="s">
        <v>18</v>
      </c>
      <c r="M11" s="15" t="s">
        <v>23</v>
      </c>
      <c r="N11" s="13">
        <v>0</v>
      </c>
      <c r="O11" s="16">
        <v>5</v>
      </c>
      <c r="P11" s="13">
        <v>6</v>
      </c>
      <c r="Q11" s="13">
        <v>0</v>
      </c>
      <c r="R11" s="13">
        <v>0</v>
      </c>
      <c r="S11" s="13">
        <v>1</v>
      </c>
      <c r="T11" s="13">
        <v>20</v>
      </c>
      <c r="U11" s="25">
        <f t="shared" ref="U11:U12" si="0">T11/O11</f>
        <v>4</v>
      </c>
    </row>
    <row r="12" spans="2:26" ht="15" thickBot="1" x14ac:dyDescent="0.35">
      <c r="B12" s="1" t="s">
        <v>7</v>
      </c>
      <c r="C12" s="2">
        <v>20</v>
      </c>
      <c r="D12" s="9">
        <v>5</v>
      </c>
      <c r="E12" s="2">
        <v>6</v>
      </c>
      <c r="G12" s="6" t="s">
        <v>14</v>
      </c>
      <c r="H12" s="7" t="s">
        <v>16</v>
      </c>
      <c r="I12" s="8" t="s">
        <v>27</v>
      </c>
      <c r="M12" s="146" t="s">
        <v>26</v>
      </c>
      <c r="N12" s="147"/>
      <c r="O12" s="17">
        <f>SUMPRODUCT(O9:O11,$N$9:$N$11)-O8</f>
        <v>-20</v>
      </c>
      <c r="P12" s="17">
        <f>SUMPRODUCT(P9:P11,$N$9:$N$11)-P8</f>
        <v>-14</v>
      </c>
      <c r="Q12" s="17">
        <f>SUMPRODUCT(Q9:Q11,$N$9:$N$11)-Q8</f>
        <v>0</v>
      </c>
      <c r="R12" s="17">
        <f>SUMPRODUCT(R9:R11,$N$9:$N$11)-R8</f>
        <v>0</v>
      </c>
      <c r="S12" s="17">
        <f>SUMPRODUCT(S9:S11,$N$9:$N$11)-S8</f>
        <v>0</v>
      </c>
      <c r="T12" s="17">
        <f>SUMPRODUCT(T9:T11,$N$9:$N$11)</f>
        <v>0</v>
      </c>
      <c r="U12" s="27">
        <f t="shared" si="0"/>
        <v>0</v>
      </c>
    </row>
    <row r="13" spans="2:26" ht="17.399999999999999" customHeight="1" thickBot="1" x14ac:dyDescent="0.35">
      <c r="B13" s="187" t="s">
        <v>8</v>
      </c>
      <c r="C13" s="188"/>
      <c r="D13" s="4" t="s">
        <v>9</v>
      </c>
      <c r="E13" s="5" t="s">
        <v>10</v>
      </c>
      <c r="G13" s="182" t="s">
        <v>15</v>
      </c>
      <c r="H13" s="181"/>
      <c r="I13" s="183"/>
    </row>
    <row r="14" spans="2:26" ht="26.4" customHeight="1" thickBot="1" x14ac:dyDescent="0.35">
      <c r="B14" s="189"/>
      <c r="C14" s="180"/>
      <c r="D14" s="9">
        <v>20</v>
      </c>
      <c r="E14" s="2">
        <v>14</v>
      </c>
      <c r="M14" s="176" t="s">
        <v>34</v>
      </c>
      <c r="N14" s="176"/>
      <c r="O14" s="176"/>
      <c r="P14" s="176"/>
      <c r="Q14" s="176"/>
      <c r="R14" s="176"/>
      <c r="S14" s="176"/>
      <c r="T14" s="176"/>
      <c r="U14" s="176"/>
    </row>
    <row r="15" spans="2:26" ht="15" thickBot="1" x14ac:dyDescent="0.35">
      <c r="M15" s="176"/>
      <c r="N15" s="176"/>
      <c r="O15" s="176"/>
      <c r="P15" s="176"/>
      <c r="Q15" s="176"/>
      <c r="R15" s="176"/>
      <c r="S15" s="176"/>
      <c r="T15" s="176"/>
      <c r="U15" s="176"/>
      <c r="W15" s="169" t="s">
        <v>49</v>
      </c>
      <c r="X15" s="169"/>
      <c r="Y15" s="169"/>
      <c r="Z15" s="169"/>
    </row>
    <row r="16" spans="2:26" ht="15" customHeight="1" thickBot="1" x14ac:dyDescent="0.35">
      <c r="M16" s="170" t="s">
        <v>24</v>
      </c>
      <c r="N16" s="171"/>
      <c r="O16" s="13" t="s">
        <v>11</v>
      </c>
      <c r="P16" s="13" t="s">
        <v>20</v>
      </c>
      <c r="Q16" s="13" t="s">
        <v>21</v>
      </c>
      <c r="R16" s="13" t="s">
        <v>22</v>
      </c>
      <c r="S16" s="22" t="s">
        <v>23</v>
      </c>
      <c r="T16" s="148" t="s">
        <v>25</v>
      </c>
      <c r="U16" s="149"/>
      <c r="W16" s="169"/>
      <c r="X16" s="169"/>
      <c r="Y16" s="169"/>
      <c r="Z16" s="169"/>
    </row>
    <row r="17" spans="3:29" ht="15" thickBot="1" x14ac:dyDescent="0.35">
      <c r="D17" s="190" t="s">
        <v>28</v>
      </c>
      <c r="E17" s="191"/>
      <c r="G17" s="40" t="s">
        <v>29</v>
      </c>
      <c r="M17" s="172"/>
      <c r="N17" s="173"/>
      <c r="O17" s="19">
        <v>20</v>
      </c>
      <c r="P17" s="21">
        <v>14</v>
      </c>
      <c r="Q17" s="21">
        <v>0</v>
      </c>
      <c r="R17" s="21">
        <v>0</v>
      </c>
      <c r="S17" s="23">
        <v>0</v>
      </c>
      <c r="T17" s="150"/>
      <c r="U17" s="151"/>
      <c r="X17" s="39"/>
    </row>
    <row r="18" spans="3:29" ht="18" thickBot="1" x14ac:dyDescent="0.35">
      <c r="D18" s="40">
        <v>2.2000000000000002</v>
      </c>
      <c r="E18" s="41">
        <v>1.4999999999999996</v>
      </c>
      <c r="G18" s="40">
        <f>D14*D18+E14*E18</f>
        <v>65</v>
      </c>
      <c r="M18" s="21" t="s">
        <v>21</v>
      </c>
      <c r="N18" s="21">
        <v>0</v>
      </c>
      <c r="O18" s="19">
        <v>0</v>
      </c>
      <c r="P18" s="13">
        <f>P9-(P$10*$O9)/$O$10</f>
        <v>5.2</v>
      </c>
      <c r="Q18" s="13">
        <f>Q9-(Q$10*$O9)/$O$10</f>
        <v>1</v>
      </c>
      <c r="R18" s="13">
        <f>R9-(R$10*$O9)/$O$10</f>
        <v>-0.4</v>
      </c>
      <c r="S18" s="13">
        <f>S9-(S$10*$O9)/$O$10</f>
        <v>0</v>
      </c>
      <c r="T18" s="18">
        <f>T9-(T$10*$O9)/$O$10</f>
        <v>8.4</v>
      </c>
      <c r="U18" s="29"/>
      <c r="W18" s="174" t="s">
        <v>36</v>
      </c>
      <c r="X18" s="174"/>
      <c r="Y18" s="174"/>
      <c r="Z18" s="174"/>
      <c r="AA18" s="174"/>
    </row>
    <row r="19" spans="3:29" ht="15" thickBot="1" x14ac:dyDescent="0.35">
      <c r="M19" s="21" t="s">
        <v>11</v>
      </c>
      <c r="N19" s="20">
        <v>20</v>
      </c>
      <c r="O19" s="26">
        <v>1</v>
      </c>
      <c r="P19" s="20">
        <f>P10/$O$10</f>
        <v>0.4</v>
      </c>
      <c r="Q19" s="20">
        <f>Q10/$O$10</f>
        <v>0</v>
      </c>
      <c r="R19" s="20">
        <f>R10/$O$10</f>
        <v>0.2</v>
      </c>
      <c r="S19" s="20">
        <f>S10/$O$10</f>
        <v>0</v>
      </c>
      <c r="T19" s="20">
        <f>T10/$O$10</f>
        <v>2.8</v>
      </c>
      <c r="U19" s="29"/>
      <c r="W19" s="175" t="s">
        <v>35</v>
      </c>
      <c r="X19" s="175"/>
      <c r="Y19" s="175"/>
      <c r="Z19" s="175"/>
      <c r="AA19" s="175"/>
      <c r="AB19" s="175"/>
      <c r="AC19" s="175"/>
    </row>
    <row r="20" spans="3:29" ht="15" thickBot="1" x14ac:dyDescent="0.35">
      <c r="D20" s="192" t="s">
        <v>30</v>
      </c>
      <c r="E20" s="193"/>
      <c r="F20" s="33" t="s">
        <v>31</v>
      </c>
      <c r="G20" s="34" t="s">
        <v>32</v>
      </c>
      <c r="M20" s="21" t="s">
        <v>23</v>
      </c>
      <c r="N20" s="13">
        <v>0</v>
      </c>
      <c r="O20" s="19">
        <v>0</v>
      </c>
      <c r="P20" s="13">
        <f>P11-(P$10*$O11)/$O$10</f>
        <v>4</v>
      </c>
      <c r="Q20" s="13">
        <f>Q11-(Q$10*$O11)/$O$10</f>
        <v>0</v>
      </c>
      <c r="R20" s="13">
        <f>R11-(R$10*$O11)/$O$10</f>
        <v>-1</v>
      </c>
      <c r="S20" s="13">
        <f>S11-(S$10*$O11)/$O$10</f>
        <v>1</v>
      </c>
      <c r="T20" s="13">
        <f>T11-(T$10*$O11)/$O$10</f>
        <v>6</v>
      </c>
      <c r="U20" s="29"/>
    </row>
    <row r="21" spans="3:29" ht="15" thickBot="1" x14ac:dyDescent="0.35">
      <c r="D21" s="10" t="s">
        <v>5</v>
      </c>
      <c r="E21" s="12"/>
      <c r="F21" s="37">
        <f>D10*$D$18+E10*$E$18</f>
        <v>13.399999999999997</v>
      </c>
      <c r="G21" s="12">
        <v>14</v>
      </c>
      <c r="M21" s="146" t="s">
        <v>26</v>
      </c>
      <c r="N21" s="147"/>
      <c r="O21" s="19">
        <v>0</v>
      </c>
      <c r="P21" s="13">
        <f>P12-(P$10*$O12)/$O$10</f>
        <v>-6</v>
      </c>
      <c r="Q21" s="13">
        <f>Q12-(Q$10*$O12)/$O$10</f>
        <v>0</v>
      </c>
      <c r="R21" s="13">
        <f>R12-(R$10*$O12)/$O$10</f>
        <v>4</v>
      </c>
      <c r="S21" s="13">
        <f>S12-(S$10*$O12)/$O$10</f>
        <v>0</v>
      </c>
      <c r="T21" s="30">
        <f>SUMPRODUCT($N$18:$N$20,T18:T20)</f>
        <v>56</v>
      </c>
      <c r="U21" s="30"/>
    </row>
    <row r="22" spans="3:29" x14ac:dyDescent="0.3">
      <c r="D22" s="10" t="s">
        <v>6</v>
      </c>
      <c r="E22" s="12"/>
      <c r="F22" s="35">
        <f>D11*$D$18+E11*$E$18</f>
        <v>14</v>
      </c>
      <c r="G22" s="12">
        <v>14</v>
      </c>
    </row>
    <row r="23" spans="3:29" ht="15" thickBot="1" x14ac:dyDescent="0.35">
      <c r="D23" s="31" t="s">
        <v>7</v>
      </c>
      <c r="E23" s="32"/>
      <c r="F23" s="36">
        <f>D12*$D$18+E12*$E$18</f>
        <v>19.999999999999996</v>
      </c>
      <c r="G23" s="32">
        <v>20</v>
      </c>
    </row>
    <row r="25" spans="3:29" x14ac:dyDescent="0.3">
      <c r="M25" s="152" t="s">
        <v>40</v>
      </c>
      <c r="N25" s="152"/>
      <c r="O25" s="152"/>
      <c r="P25" s="152"/>
      <c r="Q25" s="152"/>
      <c r="R25" s="152"/>
      <c r="S25" s="152"/>
      <c r="T25" s="152"/>
      <c r="U25" s="152"/>
    </row>
    <row r="26" spans="3:29" ht="15" thickBot="1" x14ac:dyDescent="0.35">
      <c r="M26" s="152"/>
      <c r="N26" s="152"/>
      <c r="O26" s="152"/>
      <c r="P26" s="152"/>
      <c r="Q26" s="152"/>
      <c r="R26" s="152"/>
      <c r="S26" s="152"/>
      <c r="T26" s="152"/>
      <c r="U26" s="152"/>
    </row>
    <row r="27" spans="3:29" ht="15" customHeight="1" thickBot="1" x14ac:dyDescent="0.35">
      <c r="C27" s="177" t="s">
        <v>41</v>
      </c>
      <c r="D27" s="177"/>
      <c r="E27" s="177"/>
      <c r="F27" s="177"/>
      <c r="G27" s="177"/>
      <c r="H27" s="177"/>
      <c r="I27" s="177"/>
      <c r="J27" s="177"/>
      <c r="M27" s="170" t="s">
        <v>24</v>
      </c>
      <c r="N27" s="171"/>
      <c r="O27" s="21" t="s">
        <v>11</v>
      </c>
      <c r="P27" s="19" t="s">
        <v>20</v>
      </c>
      <c r="Q27" s="21" t="s">
        <v>21</v>
      </c>
      <c r="R27" s="21" t="s">
        <v>22</v>
      </c>
      <c r="S27" s="23" t="s">
        <v>23</v>
      </c>
      <c r="T27" s="148" t="s">
        <v>25</v>
      </c>
      <c r="U27" s="149"/>
      <c r="W27" s="163" t="s">
        <v>48</v>
      </c>
      <c r="X27" s="164"/>
      <c r="Y27" s="164"/>
      <c r="Z27" s="165"/>
    </row>
    <row r="28" spans="3:29" ht="15" thickBot="1" x14ac:dyDescent="0.35">
      <c r="M28" s="172"/>
      <c r="N28" s="173"/>
      <c r="O28" s="21">
        <v>20</v>
      </c>
      <c r="P28" s="19">
        <v>14</v>
      </c>
      <c r="Q28" s="21">
        <v>0</v>
      </c>
      <c r="R28" s="21">
        <v>0</v>
      </c>
      <c r="S28" s="23">
        <v>0</v>
      </c>
      <c r="T28" s="150"/>
      <c r="U28" s="151"/>
      <c r="W28" s="166"/>
      <c r="X28" s="167"/>
      <c r="Y28" s="167"/>
      <c r="Z28" s="168"/>
    </row>
    <row r="29" spans="3:29" ht="16.2" thickBot="1" x14ac:dyDescent="0.35">
      <c r="M29" s="21" t="s">
        <v>21</v>
      </c>
      <c r="N29" s="21">
        <v>0</v>
      </c>
      <c r="O29" s="21">
        <f>O18-(O$20*$P18)/$P$20</f>
        <v>0</v>
      </c>
      <c r="P29" s="19">
        <v>0</v>
      </c>
      <c r="Q29" s="21">
        <f>Q18-(Q$20*$P18)/$P$20</f>
        <v>1</v>
      </c>
      <c r="R29" s="21">
        <f t="shared" ref="R29:S29" si="1">R18-(R$20*$P18)/$P$20</f>
        <v>0.9</v>
      </c>
      <c r="S29" s="21">
        <f t="shared" si="1"/>
        <v>-1.3</v>
      </c>
      <c r="T29" s="29">
        <f>T18-(T$20*$P18)/$P$20</f>
        <v>0.59999999999999964</v>
      </c>
      <c r="U29" s="29"/>
      <c r="W29" s="154" t="s">
        <v>37</v>
      </c>
      <c r="X29" s="155"/>
      <c r="Y29" s="155"/>
      <c r="Z29" s="156"/>
    </row>
    <row r="30" spans="3:29" ht="16.2" thickBot="1" x14ac:dyDescent="0.35">
      <c r="M30" s="21" t="s">
        <v>11</v>
      </c>
      <c r="N30" s="21">
        <v>20</v>
      </c>
      <c r="O30" s="21">
        <f>O19-(O$20*$P19)/$P$20</f>
        <v>1</v>
      </c>
      <c r="P30" s="38">
        <v>0</v>
      </c>
      <c r="Q30" s="21">
        <f>Q19-(Q$20*$P19)/$P$20</f>
        <v>0</v>
      </c>
      <c r="R30" s="21">
        <f t="shared" ref="R30:S30" si="2">R19-(R$20*$P19)/$P$20</f>
        <v>0.30000000000000004</v>
      </c>
      <c r="S30" s="21">
        <f t="shared" si="2"/>
        <v>-0.1</v>
      </c>
      <c r="T30" s="29">
        <f>T19-(T$20*$P19)/$P$20</f>
        <v>2.1999999999999997</v>
      </c>
      <c r="U30" s="29"/>
      <c r="W30" s="157" t="s">
        <v>38</v>
      </c>
      <c r="X30" s="158"/>
      <c r="Y30" s="158"/>
      <c r="Z30" s="159"/>
    </row>
    <row r="31" spans="3:29" ht="16.2" thickBot="1" x14ac:dyDescent="0.35">
      <c r="M31" s="21" t="s">
        <v>20</v>
      </c>
      <c r="N31" s="20">
        <v>14</v>
      </c>
      <c r="O31" s="20">
        <f>O20/$P$20</f>
        <v>0</v>
      </c>
      <c r="P31" s="26">
        <f>P20/$P$20</f>
        <v>1</v>
      </c>
      <c r="Q31" s="20">
        <f t="shared" ref="Q31:T31" si="3">Q20/$P$20</f>
        <v>0</v>
      </c>
      <c r="R31" s="20">
        <f t="shared" si="3"/>
        <v>-0.25</v>
      </c>
      <c r="S31" s="20">
        <f t="shared" si="3"/>
        <v>0.25</v>
      </c>
      <c r="T31" s="20">
        <f t="shared" si="3"/>
        <v>1.5</v>
      </c>
      <c r="U31" s="29"/>
      <c r="W31" s="160" t="s">
        <v>39</v>
      </c>
      <c r="X31" s="161"/>
      <c r="Y31" s="161"/>
      <c r="Z31" s="162"/>
    </row>
    <row r="32" spans="3:29" ht="15" thickBot="1" x14ac:dyDescent="0.35">
      <c r="M32" s="146" t="s">
        <v>26</v>
      </c>
      <c r="N32" s="147"/>
      <c r="O32" s="21">
        <f t="shared" ref="O32" si="4">O21-(O$19*$P21)/$P$19</f>
        <v>15</v>
      </c>
      <c r="P32" s="19">
        <v>0</v>
      </c>
      <c r="Q32" s="21">
        <f>Q21-(Q$20*$P21)/$P$20</f>
        <v>0</v>
      </c>
      <c r="R32" s="21">
        <f t="shared" ref="R32:S32" si="5">R21-(R$20*$P21)/$P$20</f>
        <v>2.5</v>
      </c>
      <c r="S32" s="21">
        <f t="shared" si="5"/>
        <v>1.5</v>
      </c>
      <c r="T32" s="29">
        <f>T21-(T$20*$P21)/$P$20</f>
        <v>65</v>
      </c>
      <c r="U32" s="30"/>
    </row>
    <row r="39" spans="28:37" ht="23.4" x14ac:dyDescent="0.45">
      <c r="AB39" s="42" t="s">
        <v>42</v>
      </c>
      <c r="AC39" s="42"/>
      <c r="AD39" s="42"/>
      <c r="AE39" s="42"/>
      <c r="AF39" s="42"/>
      <c r="AG39" s="42"/>
      <c r="AH39" s="42"/>
      <c r="AI39" s="42"/>
      <c r="AJ39" s="42"/>
      <c r="AK39" s="42"/>
    </row>
    <row r="40" spans="28:37" ht="23.4" x14ac:dyDescent="0.45">
      <c r="AB40" s="153" t="s">
        <v>43</v>
      </c>
      <c r="AC40" s="153"/>
      <c r="AD40" s="153"/>
      <c r="AE40" s="153"/>
      <c r="AF40" s="153"/>
      <c r="AG40" s="153"/>
      <c r="AH40" s="153"/>
      <c r="AI40" s="153"/>
    </row>
    <row r="57" spans="28:40" ht="23.4" x14ac:dyDescent="0.45">
      <c r="AB57" s="42" t="s">
        <v>44</v>
      </c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</row>
    <row r="59" spans="28:40" ht="23.4" x14ac:dyDescent="0.45">
      <c r="AB59" s="153" t="s">
        <v>45</v>
      </c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</row>
  </sheetData>
  <mergeCells count="34">
    <mergeCell ref="C27:J27"/>
    <mergeCell ref="M21:N21"/>
    <mergeCell ref="C1:M3"/>
    <mergeCell ref="G6:I7"/>
    <mergeCell ref="B7:E7"/>
    <mergeCell ref="M6:U6"/>
    <mergeCell ref="G13:I13"/>
    <mergeCell ref="G8:I8"/>
    <mergeCell ref="B8:B9"/>
    <mergeCell ref="C8:C9"/>
    <mergeCell ref="D8:E8"/>
    <mergeCell ref="B13:C14"/>
    <mergeCell ref="D17:E17"/>
    <mergeCell ref="D20:E20"/>
    <mergeCell ref="W7:Z7"/>
    <mergeCell ref="M7:N8"/>
    <mergeCell ref="W18:AA18"/>
    <mergeCell ref="W19:AC19"/>
    <mergeCell ref="M14:U15"/>
    <mergeCell ref="T7:U8"/>
    <mergeCell ref="M12:N12"/>
    <mergeCell ref="M16:N17"/>
    <mergeCell ref="M32:N32"/>
    <mergeCell ref="T27:U28"/>
    <mergeCell ref="T16:U17"/>
    <mergeCell ref="M25:U26"/>
    <mergeCell ref="AB59:AM59"/>
    <mergeCell ref="W29:Z29"/>
    <mergeCell ref="W30:Z30"/>
    <mergeCell ref="W31:Z31"/>
    <mergeCell ref="AB40:AI40"/>
    <mergeCell ref="W27:Z28"/>
    <mergeCell ref="W15:Z16"/>
    <mergeCell ref="M27:N28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34FB-CF02-4835-8884-0D29B7D76F37}">
  <dimension ref="J7:AM92"/>
  <sheetViews>
    <sheetView zoomScale="10" zoomScaleNormal="109" workbookViewId="0">
      <selection activeCell="A106" sqref="A106:Y279"/>
    </sheetView>
  </sheetViews>
  <sheetFormatPr defaultRowHeight="14.4" x14ac:dyDescent="0.3"/>
  <sheetData>
    <row r="7" spans="10:23" ht="15" thickBot="1" x14ac:dyDescent="0.35"/>
    <row r="8" spans="10:23" ht="15" thickBot="1" x14ac:dyDescent="0.35">
      <c r="J8" s="33"/>
      <c r="K8" s="49" t="s">
        <v>58</v>
      </c>
      <c r="L8" s="50" t="s">
        <v>57</v>
      </c>
      <c r="M8" s="50" t="s">
        <v>56</v>
      </c>
      <c r="N8" s="54" t="s">
        <v>55</v>
      </c>
      <c r="O8" s="33"/>
    </row>
    <row r="9" spans="10:23" x14ac:dyDescent="0.3">
      <c r="J9" s="51" t="s">
        <v>52</v>
      </c>
      <c r="K9" s="52">
        <v>8</v>
      </c>
      <c r="L9" s="53">
        <v>5</v>
      </c>
      <c r="M9" s="53">
        <v>5</v>
      </c>
      <c r="N9" s="55">
        <v>3</v>
      </c>
      <c r="O9" s="51">
        <v>200</v>
      </c>
    </row>
    <row r="10" spans="10:23" x14ac:dyDescent="0.3">
      <c r="J10" s="45" t="s">
        <v>53</v>
      </c>
      <c r="K10" s="44">
        <v>6</v>
      </c>
      <c r="L10" s="43">
        <v>6</v>
      </c>
      <c r="M10" s="43">
        <v>5</v>
      </c>
      <c r="N10" s="56">
        <v>6</v>
      </c>
      <c r="O10" s="45">
        <v>200</v>
      </c>
    </row>
    <row r="11" spans="10:23" ht="15" thickBot="1" x14ac:dyDescent="0.35">
      <c r="J11" s="46" t="s">
        <v>54</v>
      </c>
      <c r="K11" s="47">
        <v>9</v>
      </c>
      <c r="L11" s="48">
        <v>8</v>
      </c>
      <c r="M11" s="48">
        <v>7</v>
      </c>
      <c r="N11" s="57">
        <v>4</v>
      </c>
      <c r="O11" s="46">
        <v>200</v>
      </c>
    </row>
    <row r="12" spans="10:23" ht="15" thickBot="1" x14ac:dyDescent="0.35">
      <c r="J12" s="33"/>
      <c r="K12" s="49">
        <v>200</v>
      </c>
      <c r="L12" s="50">
        <v>100</v>
      </c>
      <c r="M12" s="50">
        <v>200</v>
      </c>
      <c r="N12" s="54">
        <v>100</v>
      </c>
      <c r="O12" s="33"/>
    </row>
    <row r="16" spans="10:23" x14ac:dyDescent="0.3">
      <c r="J16" s="177" t="s">
        <v>59</v>
      </c>
      <c r="K16" s="177"/>
      <c r="L16" s="177"/>
      <c r="M16" s="177"/>
      <c r="N16" s="177"/>
      <c r="O16" s="177"/>
      <c r="R16" s="177" t="s">
        <v>60</v>
      </c>
      <c r="S16" s="177"/>
      <c r="T16" s="177"/>
      <c r="U16" s="177"/>
      <c r="V16" s="177"/>
      <c r="W16" s="177"/>
    </row>
    <row r="18" spans="10:24" ht="15" thickBot="1" x14ac:dyDescent="0.35"/>
    <row r="19" spans="10:24" ht="15" thickBot="1" x14ac:dyDescent="0.35">
      <c r="J19" s="33"/>
      <c r="K19" s="49" t="s">
        <v>58</v>
      </c>
      <c r="L19" s="50" t="s">
        <v>57</v>
      </c>
      <c r="M19" s="50" t="s">
        <v>56</v>
      </c>
      <c r="N19" s="54" t="s">
        <v>55</v>
      </c>
      <c r="O19" s="33"/>
    </row>
    <row r="20" spans="10:24" x14ac:dyDescent="0.3">
      <c r="J20" s="51" t="s">
        <v>52</v>
      </c>
      <c r="K20" s="58">
        <v>200</v>
      </c>
      <c r="L20" s="53"/>
      <c r="M20" s="53"/>
      <c r="N20" s="55"/>
      <c r="O20" s="51">
        <v>200</v>
      </c>
    </row>
    <row r="21" spans="10:24" x14ac:dyDescent="0.3">
      <c r="J21" s="45" t="s">
        <v>53</v>
      </c>
      <c r="K21" s="44"/>
      <c r="L21" s="59">
        <v>100</v>
      </c>
      <c r="M21" s="59">
        <v>100</v>
      </c>
      <c r="N21" s="56"/>
      <c r="O21" s="45">
        <v>200</v>
      </c>
    </row>
    <row r="22" spans="10:24" ht="15" thickBot="1" x14ac:dyDescent="0.35">
      <c r="J22" s="46" t="s">
        <v>54</v>
      </c>
      <c r="K22" s="47"/>
      <c r="L22" s="48"/>
      <c r="M22" s="60">
        <v>100</v>
      </c>
      <c r="N22" s="61">
        <v>100</v>
      </c>
      <c r="O22" s="46">
        <v>200</v>
      </c>
    </row>
    <row r="23" spans="10:24" ht="15" thickBot="1" x14ac:dyDescent="0.35">
      <c r="J23" s="33"/>
      <c r="K23" s="49">
        <v>200</v>
      </c>
      <c r="L23" s="50">
        <v>100</v>
      </c>
      <c r="M23" s="50">
        <v>200</v>
      </c>
      <c r="N23" s="54">
        <v>100</v>
      </c>
      <c r="O23" s="33">
        <f>K20*K9 +L21*L10+M10*M21+M22*M11+N22*N11</f>
        <v>3800</v>
      </c>
    </row>
    <row r="25" spans="10:24" x14ac:dyDescent="0.3">
      <c r="J25" t="s">
        <v>66</v>
      </c>
      <c r="R25" t="s">
        <v>63</v>
      </c>
    </row>
    <row r="26" spans="10:24" x14ac:dyDescent="0.3">
      <c r="R26" t="s">
        <v>62</v>
      </c>
    </row>
    <row r="27" spans="10:24" x14ac:dyDescent="0.3">
      <c r="R27" t="s">
        <v>61</v>
      </c>
    </row>
    <row r="28" spans="10:24" x14ac:dyDescent="0.3">
      <c r="R28" t="s">
        <v>64</v>
      </c>
    </row>
    <row r="29" spans="10:24" x14ac:dyDescent="0.3">
      <c r="R29" t="s">
        <v>65</v>
      </c>
    </row>
    <row r="30" spans="10:24" x14ac:dyDescent="0.3">
      <c r="L30" s="63"/>
      <c r="M30" s="63"/>
    </row>
    <row r="31" spans="10:24" x14ac:dyDescent="0.3">
      <c r="L31" s="63"/>
      <c r="M31" s="63"/>
    </row>
    <row r="32" spans="10:24" x14ac:dyDescent="0.3">
      <c r="J32" s="177" t="s">
        <v>67</v>
      </c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</row>
    <row r="36" spans="11:23" ht="15" thickBot="1" x14ac:dyDescent="0.35">
      <c r="K36" t="s">
        <v>69</v>
      </c>
      <c r="R36" t="s">
        <v>68</v>
      </c>
    </row>
    <row r="37" spans="11:23" ht="15" thickBot="1" x14ac:dyDescent="0.35">
      <c r="K37" s="33"/>
      <c r="L37" s="49" t="s">
        <v>58</v>
      </c>
      <c r="M37" s="50" t="s">
        <v>57</v>
      </c>
      <c r="N37" s="50" t="s">
        <v>56</v>
      </c>
      <c r="O37" s="54" t="s">
        <v>55</v>
      </c>
      <c r="P37" s="33" t="s">
        <v>71</v>
      </c>
      <c r="R37" s="33"/>
      <c r="S37" s="49" t="s">
        <v>58</v>
      </c>
      <c r="T37" s="50" t="s">
        <v>57</v>
      </c>
      <c r="U37" s="50" t="s">
        <v>56</v>
      </c>
      <c r="V37" s="54" t="s">
        <v>55</v>
      </c>
      <c r="W37" s="33" t="s">
        <v>71</v>
      </c>
    </row>
    <row r="38" spans="11:23" x14ac:dyDescent="0.3">
      <c r="K38" s="51" t="s">
        <v>52</v>
      </c>
      <c r="L38" s="58"/>
      <c r="M38" s="59">
        <v>100</v>
      </c>
      <c r="N38" s="53"/>
      <c r="O38" s="61">
        <v>100</v>
      </c>
      <c r="P38" s="51">
        <v>0</v>
      </c>
      <c r="R38" s="51" t="s">
        <v>52</v>
      </c>
      <c r="S38" s="72"/>
      <c r="T38" s="66">
        <v>5</v>
      </c>
      <c r="U38" s="66"/>
      <c r="V38" s="69">
        <v>3</v>
      </c>
      <c r="W38" s="51">
        <v>0</v>
      </c>
    </row>
    <row r="39" spans="11:23" x14ac:dyDescent="0.3">
      <c r="K39" s="45" t="s">
        <v>53</v>
      </c>
      <c r="L39" s="59">
        <v>200</v>
      </c>
      <c r="N39" s="59"/>
      <c r="O39" s="56"/>
      <c r="P39" s="45">
        <v>0</v>
      </c>
      <c r="R39" s="45" t="s">
        <v>53</v>
      </c>
      <c r="S39" s="67">
        <v>6</v>
      </c>
      <c r="T39" s="64"/>
      <c r="U39" s="64"/>
      <c r="V39" s="73"/>
      <c r="W39" s="45" t="s">
        <v>82</v>
      </c>
    </row>
    <row r="40" spans="11:23" ht="15" thickBot="1" x14ac:dyDescent="0.35">
      <c r="K40" s="46" t="s">
        <v>54</v>
      </c>
      <c r="L40" s="59"/>
      <c r="M40" s="48"/>
      <c r="N40" s="60">
        <v>200</v>
      </c>
      <c r="P40" s="46">
        <v>0</v>
      </c>
      <c r="R40" s="46" t="s">
        <v>54</v>
      </c>
      <c r="S40" s="74"/>
      <c r="T40" s="68"/>
      <c r="U40" s="68">
        <v>7</v>
      </c>
      <c r="V40" s="65"/>
      <c r="W40" s="46" t="s">
        <v>82</v>
      </c>
    </row>
    <row r="41" spans="11:23" ht="15" thickBot="1" x14ac:dyDescent="0.35">
      <c r="K41" s="33" t="s">
        <v>70</v>
      </c>
      <c r="L41" s="49">
        <v>0</v>
      </c>
      <c r="M41" s="50">
        <v>0</v>
      </c>
      <c r="N41" s="50">
        <v>0</v>
      </c>
      <c r="O41" s="54">
        <v>0</v>
      </c>
      <c r="P41" s="33"/>
      <c r="R41" s="33" t="s">
        <v>70</v>
      </c>
      <c r="S41" s="49" t="s">
        <v>82</v>
      </c>
      <c r="T41" s="50">
        <v>5</v>
      </c>
      <c r="U41" s="50" t="s">
        <v>82</v>
      </c>
      <c r="V41" s="54">
        <v>3</v>
      </c>
      <c r="W41" s="33"/>
    </row>
    <row r="42" spans="11:23" x14ac:dyDescent="0.3">
      <c r="K42" s="62" t="s">
        <v>72</v>
      </c>
    </row>
    <row r="43" spans="11:23" x14ac:dyDescent="0.3">
      <c r="R43" t="s">
        <v>73</v>
      </c>
      <c r="T43" t="s">
        <v>78</v>
      </c>
    </row>
    <row r="44" spans="11:23" x14ac:dyDescent="0.3">
      <c r="R44" t="s">
        <v>74</v>
      </c>
      <c r="T44" t="s">
        <v>79</v>
      </c>
    </row>
    <row r="45" spans="11:23" x14ac:dyDescent="0.3">
      <c r="R45" t="s">
        <v>77</v>
      </c>
      <c r="T45" t="s">
        <v>80</v>
      </c>
    </row>
    <row r="46" spans="11:23" x14ac:dyDescent="0.3">
      <c r="R46" t="s">
        <v>76</v>
      </c>
      <c r="T46" t="s">
        <v>77</v>
      </c>
    </row>
    <row r="47" spans="11:23" x14ac:dyDescent="0.3">
      <c r="T47" t="s">
        <v>75</v>
      </c>
    </row>
    <row r="49" spans="11:23" x14ac:dyDescent="0.3">
      <c r="R49" t="s">
        <v>81</v>
      </c>
    </row>
    <row r="50" spans="11:23" ht="15" thickBot="1" x14ac:dyDescent="0.35">
      <c r="K50" t="s">
        <v>92</v>
      </c>
    </row>
    <row r="51" spans="11:23" ht="15" thickBot="1" x14ac:dyDescent="0.35">
      <c r="K51" s="33"/>
      <c r="L51" s="49" t="s">
        <v>58</v>
      </c>
      <c r="M51" s="50" t="s">
        <v>57</v>
      </c>
      <c r="N51" s="50" t="s">
        <v>56</v>
      </c>
      <c r="O51" s="54" t="s">
        <v>55</v>
      </c>
      <c r="P51" s="33" t="s">
        <v>71</v>
      </c>
      <c r="R51" s="33"/>
      <c r="S51" s="49" t="s">
        <v>58</v>
      </c>
      <c r="T51" s="50" t="s">
        <v>57</v>
      </c>
      <c r="U51" s="50" t="s">
        <v>56</v>
      </c>
      <c r="V51" s="54" t="s">
        <v>55</v>
      </c>
      <c r="W51" s="33" t="s">
        <v>71</v>
      </c>
    </row>
    <row r="52" spans="11:23" x14ac:dyDescent="0.3">
      <c r="K52" s="51" t="s">
        <v>52</v>
      </c>
      <c r="L52" s="58"/>
      <c r="M52" s="59">
        <v>100</v>
      </c>
      <c r="N52" s="53"/>
      <c r="O52" s="61">
        <v>100</v>
      </c>
      <c r="P52" s="51">
        <v>0</v>
      </c>
      <c r="R52" s="51" t="s">
        <v>52</v>
      </c>
      <c r="S52" s="52"/>
      <c r="T52" s="66">
        <v>5</v>
      </c>
      <c r="U52" s="53"/>
      <c r="V52" s="69">
        <v>3</v>
      </c>
      <c r="W52" s="51"/>
    </row>
    <row r="53" spans="11:23" x14ac:dyDescent="0.3">
      <c r="K53" s="45" t="s">
        <v>53</v>
      </c>
      <c r="L53" s="59">
        <v>200</v>
      </c>
      <c r="N53" s="59">
        <v>0</v>
      </c>
      <c r="O53" s="56"/>
      <c r="P53" s="45">
        <v>0</v>
      </c>
      <c r="R53" s="45" t="s">
        <v>53</v>
      </c>
      <c r="S53" s="67">
        <v>6</v>
      </c>
      <c r="T53" s="43"/>
      <c r="U53" s="70" t="s">
        <v>91</v>
      </c>
      <c r="V53" s="56"/>
      <c r="W53" s="45"/>
    </row>
    <row r="54" spans="11:23" ht="15" thickBot="1" x14ac:dyDescent="0.35">
      <c r="K54" s="46" t="s">
        <v>54</v>
      </c>
      <c r="L54" s="59"/>
      <c r="M54" s="48"/>
      <c r="N54" s="60">
        <v>200</v>
      </c>
      <c r="O54" s="75">
        <v>0</v>
      </c>
      <c r="P54" s="46">
        <v>0</v>
      </c>
      <c r="R54" s="46" t="s">
        <v>54</v>
      </c>
      <c r="S54" s="47"/>
      <c r="T54" s="48"/>
      <c r="U54" s="68">
        <v>7</v>
      </c>
      <c r="V54" s="71" t="s">
        <v>90</v>
      </c>
      <c r="W54" s="46"/>
    </row>
    <row r="55" spans="11:23" ht="15" thickBot="1" x14ac:dyDescent="0.35">
      <c r="K55" s="33" t="s">
        <v>70</v>
      </c>
      <c r="L55" s="49">
        <v>0</v>
      </c>
      <c r="M55" s="50">
        <v>0</v>
      </c>
      <c r="N55" s="50">
        <v>0</v>
      </c>
      <c r="O55" s="54">
        <v>0</v>
      </c>
      <c r="P55" s="33"/>
      <c r="R55" s="33" t="s">
        <v>70</v>
      </c>
      <c r="S55" s="49"/>
      <c r="T55" s="50"/>
      <c r="U55" s="50"/>
      <c r="V55" s="54"/>
      <c r="W55" s="33"/>
    </row>
    <row r="57" spans="11:23" x14ac:dyDescent="0.3">
      <c r="R57" t="s">
        <v>83</v>
      </c>
      <c r="T57" t="s">
        <v>85</v>
      </c>
    </row>
    <row r="58" spans="11:23" x14ac:dyDescent="0.3">
      <c r="R58" t="s">
        <v>73</v>
      </c>
      <c r="T58" t="s">
        <v>86</v>
      </c>
    </row>
    <row r="59" spans="11:23" x14ac:dyDescent="0.3">
      <c r="R59" t="s">
        <v>74</v>
      </c>
      <c r="T59" t="s">
        <v>87</v>
      </c>
    </row>
    <row r="60" spans="11:23" x14ac:dyDescent="0.3">
      <c r="R60" t="s">
        <v>77</v>
      </c>
      <c r="T60" t="s">
        <v>88</v>
      </c>
    </row>
    <row r="61" spans="11:23" x14ac:dyDescent="0.3">
      <c r="R61" t="s">
        <v>76</v>
      </c>
      <c r="T61" t="s">
        <v>89</v>
      </c>
    </row>
    <row r="62" spans="11:23" x14ac:dyDescent="0.3">
      <c r="R62" t="s">
        <v>84</v>
      </c>
    </row>
    <row r="64" spans="11:23" ht="15" thickBot="1" x14ac:dyDescent="0.35">
      <c r="K64" t="s">
        <v>93</v>
      </c>
      <c r="S64" t="s">
        <v>94</v>
      </c>
    </row>
    <row r="65" spans="11:39" ht="15" thickBot="1" x14ac:dyDescent="0.35">
      <c r="K65" s="33"/>
      <c r="L65" s="49" t="s">
        <v>58</v>
      </c>
      <c r="M65" s="50" t="s">
        <v>57</v>
      </c>
      <c r="N65" s="50" t="s">
        <v>56</v>
      </c>
      <c r="O65" s="54" t="s">
        <v>55</v>
      </c>
      <c r="P65" s="33" t="s">
        <v>71</v>
      </c>
      <c r="S65" s="33"/>
      <c r="T65" s="49" t="s">
        <v>58</v>
      </c>
      <c r="U65" s="50" t="s">
        <v>57</v>
      </c>
      <c r="V65" s="50" t="s">
        <v>56</v>
      </c>
      <c r="W65" s="54" t="s">
        <v>55</v>
      </c>
      <c r="X65" s="33"/>
      <c r="Z65" s="33"/>
      <c r="AA65" s="49" t="s">
        <v>58</v>
      </c>
      <c r="AB65" s="50" t="s">
        <v>57</v>
      </c>
      <c r="AC65" s="50" t="s">
        <v>56</v>
      </c>
      <c r="AD65" s="54" t="s">
        <v>55</v>
      </c>
      <c r="AE65" s="33"/>
    </row>
    <row r="66" spans="11:39" x14ac:dyDescent="0.3">
      <c r="K66" s="51" t="s">
        <v>52</v>
      </c>
      <c r="L66" s="52"/>
      <c r="M66" s="66">
        <v>5</v>
      </c>
      <c r="N66" s="53"/>
      <c r="O66" s="69">
        <v>3</v>
      </c>
      <c r="P66" s="51">
        <v>0</v>
      </c>
      <c r="S66" s="51" t="s">
        <v>52</v>
      </c>
      <c r="T66" s="52">
        <v>8</v>
      </c>
      <c r="U66" s="53">
        <v>5</v>
      </c>
      <c r="V66" s="53">
        <v>5</v>
      </c>
      <c r="W66" s="55">
        <v>3</v>
      </c>
      <c r="X66" s="51">
        <v>0</v>
      </c>
      <c r="Z66" s="51" t="s">
        <v>52</v>
      </c>
      <c r="AA66" s="52">
        <f t="shared" ref="AA66:AD68" si="0">T66 - (T$69+$X66)</f>
        <v>1</v>
      </c>
      <c r="AB66" s="52">
        <f t="shared" si="0"/>
        <v>0</v>
      </c>
      <c r="AC66" s="76">
        <f t="shared" si="0"/>
        <v>-1</v>
      </c>
      <c r="AD66" s="52">
        <f t="shared" si="0"/>
        <v>0</v>
      </c>
      <c r="AE66" s="51">
        <v>200</v>
      </c>
    </row>
    <row r="67" spans="11:39" x14ac:dyDescent="0.3">
      <c r="K67" s="45" t="s">
        <v>53</v>
      </c>
      <c r="L67" s="67">
        <v>6</v>
      </c>
      <c r="M67" s="43"/>
      <c r="N67" s="64">
        <v>5</v>
      </c>
      <c r="O67" s="56"/>
      <c r="P67" s="45">
        <v>-1</v>
      </c>
      <c r="S67" s="45" t="s">
        <v>53</v>
      </c>
      <c r="T67" s="44">
        <v>6</v>
      </c>
      <c r="U67" s="43">
        <v>6</v>
      </c>
      <c r="V67" s="43">
        <v>5</v>
      </c>
      <c r="W67" s="56">
        <v>6</v>
      </c>
      <c r="X67" s="45">
        <v>-1</v>
      </c>
      <c r="Z67" s="45" t="s">
        <v>53</v>
      </c>
      <c r="AA67" s="52">
        <f t="shared" si="0"/>
        <v>0</v>
      </c>
      <c r="AB67" s="52">
        <f t="shared" si="0"/>
        <v>2</v>
      </c>
      <c r="AC67" s="52">
        <f t="shared" si="0"/>
        <v>0</v>
      </c>
      <c r="AD67" s="52">
        <f t="shared" si="0"/>
        <v>4</v>
      </c>
      <c r="AE67" s="45">
        <v>200</v>
      </c>
    </row>
    <row r="68" spans="11:39" ht="15" thickBot="1" x14ac:dyDescent="0.35">
      <c r="K68" s="46" t="s">
        <v>54</v>
      </c>
      <c r="L68" s="47"/>
      <c r="M68" s="48"/>
      <c r="N68" s="68">
        <v>7</v>
      </c>
      <c r="O68" s="65">
        <v>4</v>
      </c>
      <c r="P68" s="46">
        <v>1</v>
      </c>
      <c r="S68" s="46" t="s">
        <v>54</v>
      </c>
      <c r="T68" s="47">
        <v>9</v>
      </c>
      <c r="U68" s="48">
        <v>8</v>
      </c>
      <c r="V68" s="48">
        <v>7</v>
      </c>
      <c r="W68" s="57">
        <v>4</v>
      </c>
      <c r="X68" s="46">
        <v>1</v>
      </c>
      <c r="Z68" s="46" t="s">
        <v>54</v>
      </c>
      <c r="AA68" s="52">
        <f t="shared" si="0"/>
        <v>1</v>
      </c>
      <c r="AB68" s="52">
        <f t="shared" si="0"/>
        <v>2</v>
      </c>
      <c r="AC68" s="52">
        <f t="shared" si="0"/>
        <v>0</v>
      </c>
      <c r="AD68" s="52">
        <f t="shared" si="0"/>
        <v>0</v>
      </c>
      <c r="AE68" s="46">
        <v>200</v>
      </c>
    </row>
    <row r="69" spans="11:39" ht="15" thickBot="1" x14ac:dyDescent="0.35">
      <c r="K69" s="33" t="s">
        <v>70</v>
      </c>
      <c r="L69" s="49">
        <v>7</v>
      </c>
      <c r="M69" s="50">
        <v>5</v>
      </c>
      <c r="N69" s="50">
        <v>6</v>
      </c>
      <c r="O69" s="54">
        <v>3</v>
      </c>
      <c r="P69" s="33"/>
      <c r="S69" s="33"/>
      <c r="T69" s="49">
        <v>7</v>
      </c>
      <c r="U69" s="50">
        <v>5</v>
      </c>
      <c r="V69" s="50">
        <v>6</v>
      </c>
      <c r="W69" s="54">
        <v>3</v>
      </c>
      <c r="X69" s="33"/>
      <c r="Z69" s="33"/>
      <c r="AA69" s="49">
        <v>200</v>
      </c>
      <c r="AB69" s="50">
        <v>100</v>
      </c>
      <c r="AC69" s="50">
        <v>200</v>
      </c>
      <c r="AD69" s="54">
        <v>100</v>
      </c>
      <c r="AE69" s="33"/>
    </row>
    <row r="71" spans="11:39" x14ac:dyDescent="0.3">
      <c r="V71" s="194" t="s">
        <v>95</v>
      </c>
      <c r="W71" s="194"/>
      <c r="X71" s="194"/>
      <c r="Y71" s="194"/>
    </row>
    <row r="76" spans="11:39" ht="15" thickBot="1" x14ac:dyDescent="0.35">
      <c r="K76" t="s">
        <v>96</v>
      </c>
      <c r="T76" t="s">
        <v>93</v>
      </c>
      <c r="AA76" t="s">
        <v>110</v>
      </c>
    </row>
    <row r="77" spans="11:39" ht="15" thickBot="1" x14ac:dyDescent="0.35">
      <c r="K77" s="33"/>
      <c r="L77" s="49" t="s">
        <v>58</v>
      </c>
      <c r="M77" s="50" t="s">
        <v>57</v>
      </c>
      <c r="N77" s="50" t="s">
        <v>56</v>
      </c>
      <c r="O77" s="54" t="s">
        <v>55</v>
      </c>
      <c r="P77" s="33" t="s">
        <v>71</v>
      </c>
      <c r="T77" s="33"/>
      <c r="U77" s="49" t="s">
        <v>58</v>
      </c>
      <c r="V77" s="50" t="s">
        <v>57</v>
      </c>
      <c r="W77" s="50" t="s">
        <v>56</v>
      </c>
      <c r="X77" s="54" t="s">
        <v>55</v>
      </c>
      <c r="Y77" s="33" t="s">
        <v>71</v>
      </c>
      <c r="AA77" s="33"/>
      <c r="AB77" s="49" t="s">
        <v>58</v>
      </c>
      <c r="AC77" s="50" t="s">
        <v>57</v>
      </c>
      <c r="AD77" s="50" t="s">
        <v>56</v>
      </c>
      <c r="AE77" s="54" t="s">
        <v>55</v>
      </c>
      <c r="AF77" s="33"/>
      <c r="AH77" s="33"/>
      <c r="AI77" s="49" t="s">
        <v>58</v>
      </c>
      <c r="AJ77" s="50" t="s">
        <v>57</v>
      </c>
      <c r="AK77" s="50" t="s">
        <v>56</v>
      </c>
      <c r="AL77" s="54" t="s">
        <v>55</v>
      </c>
      <c r="AM77" s="33"/>
    </row>
    <row r="78" spans="11:39" x14ac:dyDescent="0.3">
      <c r="K78" s="51" t="s">
        <v>52</v>
      </c>
      <c r="L78" s="58"/>
      <c r="M78" s="59">
        <v>100</v>
      </c>
      <c r="N78" s="82" t="s">
        <v>97</v>
      </c>
      <c r="O78" s="79" t="s">
        <v>98</v>
      </c>
      <c r="P78" s="51">
        <v>0</v>
      </c>
      <c r="T78" s="51" t="s">
        <v>52</v>
      </c>
      <c r="U78" s="52"/>
      <c r="V78" s="66">
        <v>5</v>
      </c>
      <c r="W78" s="66">
        <v>5</v>
      </c>
      <c r="X78" s="69"/>
      <c r="Y78" s="51">
        <v>0</v>
      </c>
      <c r="AA78" s="51" t="s">
        <v>52</v>
      </c>
      <c r="AB78" s="52">
        <v>8</v>
      </c>
      <c r="AC78" s="53">
        <v>5</v>
      </c>
      <c r="AD78" s="53">
        <v>5</v>
      </c>
      <c r="AE78" s="55">
        <v>3</v>
      </c>
      <c r="AF78" s="51">
        <v>0</v>
      </c>
      <c r="AH78" s="51" t="s">
        <v>52</v>
      </c>
      <c r="AI78" s="52">
        <f>AB78-($AF78+AB$81)</f>
        <v>2</v>
      </c>
      <c r="AJ78" s="52">
        <f t="shared" ref="AJ78:AL78" si="1">AC78-($AF78+AC$81)</f>
        <v>0</v>
      </c>
      <c r="AK78" s="52">
        <f t="shared" si="1"/>
        <v>0</v>
      </c>
      <c r="AL78" s="52">
        <f t="shared" si="1"/>
        <v>1</v>
      </c>
      <c r="AM78" s="51">
        <v>0</v>
      </c>
    </row>
    <row r="79" spans="11:39" x14ac:dyDescent="0.3">
      <c r="K79" s="45" t="s">
        <v>53</v>
      </c>
      <c r="L79" s="59">
        <v>200</v>
      </c>
      <c r="N79" s="77">
        <v>0</v>
      </c>
      <c r="O79" s="78"/>
      <c r="P79" s="45">
        <v>0</v>
      </c>
      <c r="T79" s="45" t="s">
        <v>53</v>
      </c>
      <c r="U79" s="67">
        <v>6</v>
      </c>
      <c r="V79" s="43"/>
      <c r="W79" s="64">
        <v>0</v>
      </c>
      <c r="X79" s="56"/>
      <c r="Y79" s="45">
        <v>0</v>
      </c>
      <c r="AA79" s="45" t="s">
        <v>53</v>
      </c>
      <c r="AB79" s="44">
        <v>6</v>
      </c>
      <c r="AC79" s="43">
        <v>6</v>
      </c>
      <c r="AD79" s="43">
        <v>5</v>
      </c>
      <c r="AE79" s="56">
        <v>6</v>
      </c>
      <c r="AF79" s="45">
        <v>0</v>
      </c>
      <c r="AH79" s="45" t="s">
        <v>53</v>
      </c>
      <c r="AI79" s="52">
        <f t="shared" ref="AI79:AI80" si="2">AB79-($AF79+AB$81)</f>
        <v>0</v>
      </c>
      <c r="AJ79" s="52">
        <f t="shared" ref="AJ79:AJ80" si="3">AC79-($AF79+AC$81)</f>
        <v>1</v>
      </c>
      <c r="AK79" s="52">
        <f t="shared" ref="AK79:AK80" si="4">AD79-($AF79+AD$81)</f>
        <v>0</v>
      </c>
      <c r="AL79" s="52">
        <f t="shared" ref="AL79:AL80" si="5">AE79-($AF79+AE$81)</f>
        <v>4</v>
      </c>
      <c r="AM79" s="45">
        <v>0</v>
      </c>
    </row>
    <row r="80" spans="11:39" ht="15" thickBot="1" x14ac:dyDescent="0.35">
      <c r="K80" s="46" t="s">
        <v>54</v>
      </c>
      <c r="L80" s="59"/>
      <c r="M80" s="48"/>
      <c r="N80" s="81" t="s">
        <v>99</v>
      </c>
      <c r="O80" s="80" t="s">
        <v>97</v>
      </c>
      <c r="P80" s="46">
        <v>0</v>
      </c>
      <c r="T80" s="46" t="s">
        <v>54</v>
      </c>
      <c r="U80" s="47"/>
      <c r="V80" s="48"/>
      <c r="W80" s="68">
        <v>7</v>
      </c>
      <c r="X80" s="65">
        <v>4</v>
      </c>
      <c r="Y80" s="46">
        <v>2</v>
      </c>
      <c r="AA80" s="46" t="s">
        <v>54</v>
      </c>
      <c r="AB80" s="47">
        <v>9</v>
      </c>
      <c r="AC80" s="48">
        <v>8</v>
      </c>
      <c r="AD80" s="48">
        <v>7</v>
      </c>
      <c r="AE80" s="57">
        <v>4</v>
      </c>
      <c r="AF80" s="46">
        <v>2</v>
      </c>
      <c r="AH80" s="46" t="s">
        <v>54</v>
      </c>
      <c r="AI80" s="52">
        <f t="shared" si="2"/>
        <v>1</v>
      </c>
      <c r="AJ80" s="52">
        <f t="shared" si="3"/>
        <v>1</v>
      </c>
      <c r="AK80" s="52">
        <f t="shared" si="4"/>
        <v>0</v>
      </c>
      <c r="AL80" s="52">
        <f t="shared" si="5"/>
        <v>0</v>
      </c>
      <c r="AM80" s="46">
        <v>2</v>
      </c>
    </row>
    <row r="81" spans="11:39" ht="15" thickBot="1" x14ac:dyDescent="0.35">
      <c r="K81" s="33" t="s">
        <v>70</v>
      </c>
      <c r="L81" s="49">
        <v>0</v>
      </c>
      <c r="M81" s="50">
        <v>0</v>
      </c>
      <c r="N81" s="50">
        <v>0</v>
      </c>
      <c r="O81" s="54">
        <v>0</v>
      </c>
      <c r="P81" s="33"/>
      <c r="T81" s="33" t="s">
        <v>70</v>
      </c>
      <c r="U81" s="49">
        <v>6</v>
      </c>
      <c r="V81" s="50">
        <v>5</v>
      </c>
      <c r="W81" s="50">
        <v>5</v>
      </c>
      <c r="X81" s="54">
        <v>2</v>
      </c>
      <c r="Y81" s="33"/>
      <c r="AA81" s="33"/>
      <c r="AB81" s="49">
        <v>6</v>
      </c>
      <c r="AC81" s="50">
        <v>5</v>
      </c>
      <c r="AD81" s="50">
        <v>5</v>
      </c>
      <c r="AE81" s="54">
        <v>2</v>
      </c>
      <c r="AF81" s="33"/>
      <c r="AH81" s="33"/>
      <c r="AI81" s="49">
        <v>6</v>
      </c>
      <c r="AJ81" s="50">
        <v>5</v>
      </c>
      <c r="AK81" s="50">
        <v>5</v>
      </c>
      <c r="AL81" s="54">
        <v>2</v>
      </c>
      <c r="AM81" s="33"/>
    </row>
    <row r="82" spans="11:39" ht="15" thickBot="1" x14ac:dyDescent="0.35"/>
    <row r="83" spans="11:39" ht="15" thickBot="1" x14ac:dyDescent="0.35">
      <c r="K83" s="33"/>
      <c r="L83" s="49" t="s">
        <v>58</v>
      </c>
      <c r="M83" s="50" t="s">
        <v>57</v>
      </c>
      <c r="N83" s="50" t="s">
        <v>56</v>
      </c>
      <c r="O83" s="54" t="s">
        <v>55</v>
      </c>
      <c r="P83" s="33" t="s">
        <v>71</v>
      </c>
      <c r="T83" t="s">
        <v>78</v>
      </c>
      <c r="AD83" s="194" t="s">
        <v>111</v>
      </c>
      <c r="AE83" s="194"/>
      <c r="AF83" s="194"/>
      <c r="AG83" s="194"/>
      <c r="AH83" s="194"/>
      <c r="AI83" s="194"/>
      <c r="AJ83" s="194"/>
    </row>
    <row r="84" spans="11:39" x14ac:dyDescent="0.3">
      <c r="K84" s="51" t="s">
        <v>52</v>
      </c>
      <c r="L84" s="58"/>
      <c r="M84" s="59">
        <v>100</v>
      </c>
      <c r="N84" s="83">
        <v>100</v>
      </c>
      <c r="O84" s="84">
        <v>0</v>
      </c>
      <c r="P84" s="51">
        <v>0</v>
      </c>
    </row>
    <row r="85" spans="11:39" ht="14.4" customHeight="1" x14ac:dyDescent="0.3">
      <c r="K85" s="45" t="s">
        <v>53</v>
      </c>
      <c r="L85" s="59">
        <v>200</v>
      </c>
      <c r="N85" s="85">
        <v>0</v>
      </c>
      <c r="O85" s="86"/>
      <c r="P85" s="45">
        <v>0</v>
      </c>
      <c r="T85" t="s">
        <v>103</v>
      </c>
      <c r="V85" t="s">
        <v>85</v>
      </c>
      <c r="AC85" s="195" t="s">
        <v>112</v>
      </c>
      <c r="AD85" s="195"/>
      <c r="AE85" s="195"/>
      <c r="AF85" s="195"/>
      <c r="AG85" s="195"/>
      <c r="AH85" s="195"/>
    </row>
    <row r="86" spans="11:39" ht="15" customHeight="1" thickBot="1" x14ac:dyDescent="0.35">
      <c r="K86" s="46" t="s">
        <v>54</v>
      </c>
      <c r="L86" s="59"/>
      <c r="M86" s="48"/>
      <c r="N86" s="87">
        <v>100</v>
      </c>
      <c r="O86" s="88">
        <v>100</v>
      </c>
      <c r="P86" s="46">
        <v>0</v>
      </c>
      <c r="T86" t="s">
        <v>73</v>
      </c>
      <c r="V86" t="s">
        <v>105</v>
      </c>
      <c r="AC86" s="195"/>
      <c r="AD86" s="195"/>
      <c r="AE86" s="195"/>
      <c r="AF86" s="195"/>
      <c r="AG86" s="195"/>
      <c r="AH86" s="195"/>
    </row>
    <row r="87" spans="11:39" ht="15" customHeight="1" thickBot="1" x14ac:dyDescent="0.35">
      <c r="K87" s="33" t="s">
        <v>70</v>
      </c>
      <c r="L87" s="49">
        <v>0</v>
      </c>
      <c r="M87" s="50">
        <v>0</v>
      </c>
      <c r="N87" s="50">
        <v>0</v>
      </c>
      <c r="O87" s="54">
        <v>0</v>
      </c>
      <c r="P87" s="33"/>
      <c r="T87" t="s">
        <v>102</v>
      </c>
      <c r="V87" t="s">
        <v>86</v>
      </c>
      <c r="AC87" s="195"/>
      <c r="AD87" s="195"/>
      <c r="AE87" s="195"/>
      <c r="AF87" s="195"/>
      <c r="AG87" s="195"/>
      <c r="AH87" s="195"/>
    </row>
    <row r="88" spans="11:39" ht="14.4" customHeight="1" x14ac:dyDescent="0.3">
      <c r="T88" t="s">
        <v>77</v>
      </c>
      <c r="V88" t="s">
        <v>104</v>
      </c>
      <c r="AC88" s="195"/>
      <c r="AD88" s="195"/>
      <c r="AE88" s="195"/>
      <c r="AF88" s="195"/>
      <c r="AG88" s="195"/>
      <c r="AH88" s="195"/>
    </row>
    <row r="89" spans="11:39" ht="14.4" customHeight="1" x14ac:dyDescent="0.3">
      <c r="K89" s="196" t="s">
        <v>100</v>
      </c>
      <c r="L89" s="197"/>
      <c r="M89" s="89">
        <f>O86*W68+N86*V68+N84*V66+M84*U66+T67*L85</f>
        <v>3300</v>
      </c>
      <c r="N89" t="s">
        <v>101</v>
      </c>
      <c r="T89" t="s">
        <v>76</v>
      </c>
      <c r="V89" t="s">
        <v>106</v>
      </c>
      <c r="AC89" s="195"/>
      <c r="AD89" s="195"/>
      <c r="AE89" s="195"/>
      <c r="AF89" s="195"/>
      <c r="AG89" s="195"/>
      <c r="AH89" s="195"/>
    </row>
    <row r="90" spans="11:39" ht="14.4" customHeight="1" x14ac:dyDescent="0.3">
      <c r="T90" t="s">
        <v>84</v>
      </c>
      <c r="V90" t="s">
        <v>107</v>
      </c>
      <c r="AC90" s="195"/>
      <c r="AD90" s="195"/>
      <c r="AE90" s="195"/>
      <c r="AF90" s="195"/>
      <c r="AG90" s="195"/>
      <c r="AH90" s="195"/>
    </row>
    <row r="91" spans="11:39" x14ac:dyDescent="0.3">
      <c r="V91" t="s">
        <v>108</v>
      </c>
    </row>
    <row r="92" spans="11:39" x14ac:dyDescent="0.3">
      <c r="V92" t="s">
        <v>109</v>
      </c>
    </row>
  </sheetData>
  <mergeCells count="7">
    <mergeCell ref="AD83:AJ83"/>
    <mergeCell ref="AC85:AH90"/>
    <mergeCell ref="J16:O16"/>
    <mergeCell ref="R16:W16"/>
    <mergeCell ref="J32:X32"/>
    <mergeCell ref="V71:Y71"/>
    <mergeCell ref="K89:L89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2A0D-C7D1-4B9E-AF10-78AE8E3EF1EE}">
  <dimension ref="G4:Q77"/>
  <sheetViews>
    <sheetView zoomScale="28" workbookViewId="0">
      <selection activeCell="N59" sqref="N59"/>
    </sheetView>
  </sheetViews>
  <sheetFormatPr defaultRowHeight="14.4" x14ac:dyDescent="0.3"/>
  <sheetData>
    <row r="4" spans="7:13" ht="15" thickBot="1" x14ac:dyDescent="0.35">
      <c r="G4" t="s">
        <v>121</v>
      </c>
    </row>
    <row r="5" spans="7:13" x14ac:dyDescent="0.3">
      <c r="G5" s="93"/>
      <c r="H5" s="94" t="s">
        <v>113</v>
      </c>
      <c r="I5" s="94" t="s">
        <v>114</v>
      </c>
      <c r="J5" s="94" t="s">
        <v>115</v>
      </c>
      <c r="K5" s="95" t="s">
        <v>116</v>
      </c>
    </row>
    <row r="6" spans="7:13" x14ac:dyDescent="0.3">
      <c r="G6" s="96" t="s">
        <v>117</v>
      </c>
      <c r="H6" s="43">
        <v>8</v>
      </c>
      <c r="I6" s="43">
        <v>8</v>
      </c>
      <c r="J6" s="43">
        <v>2</v>
      </c>
      <c r="K6" s="97">
        <v>11</v>
      </c>
    </row>
    <row r="7" spans="7:13" x14ac:dyDescent="0.3">
      <c r="G7" s="96" t="s">
        <v>118</v>
      </c>
      <c r="H7" s="43">
        <v>9</v>
      </c>
      <c r="I7" s="43">
        <v>4</v>
      </c>
      <c r="J7" s="43">
        <v>3</v>
      </c>
      <c r="K7" s="97">
        <v>5</v>
      </c>
    </row>
    <row r="8" spans="7:13" x14ac:dyDescent="0.3">
      <c r="G8" s="96" t="s">
        <v>119</v>
      </c>
      <c r="H8" s="43">
        <v>8</v>
      </c>
      <c r="I8" s="43">
        <v>11</v>
      </c>
      <c r="J8" s="43">
        <v>7</v>
      </c>
      <c r="K8" s="97">
        <v>10</v>
      </c>
    </row>
    <row r="9" spans="7:13" ht="15" thickBot="1" x14ac:dyDescent="0.35">
      <c r="G9" s="98" t="s">
        <v>120</v>
      </c>
      <c r="H9" s="99">
        <v>10</v>
      </c>
      <c r="I9" s="99">
        <v>11</v>
      </c>
      <c r="J9" s="99">
        <v>10</v>
      </c>
      <c r="K9" s="100">
        <v>11</v>
      </c>
    </row>
    <row r="12" spans="7:13" ht="15" thickBot="1" x14ac:dyDescent="0.35">
      <c r="G12" t="s">
        <v>122</v>
      </c>
    </row>
    <row r="13" spans="7:13" x14ac:dyDescent="0.3">
      <c r="G13" s="93"/>
      <c r="H13" s="94" t="s">
        <v>113</v>
      </c>
      <c r="I13" s="94" t="s">
        <v>114</v>
      </c>
      <c r="J13" s="94" t="s">
        <v>115</v>
      </c>
      <c r="K13" s="95" t="s">
        <v>116</v>
      </c>
    </row>
    <row r="14" spans="7:13" x14ac:dyDescent="0.3">
      <c r="G14" s="96" t="s">
        <v>117</v>
      </c>
      <c r="H14" s="43">
        <f t="shared" ref="H14:K17" si="0">H6 - $M14</f>
        <v>6</v>
      </c>
      <c r="I14" s="43">
        <f t="shared" si="0"/>
        <v>6</v>
      </c>
      <c r="J14" s="43">
        <f t="shared" si="0"/>
        <v>0</v>
      </c>
      <c r="K14" s="43">
        <f t="shared" si="0"/>
        <v>9</v>
      </c>
      <c r="M14">
        <v>2</v>
      </c>
    </row>
    <row r="15" spans="7:13" x14ac:dyDescent="0.3">
      <c r="G15" s="96" t="s">
        <v>118</v>
      </c>
      <c r="H15" s="43">
        <f t="shared" si="0"/>
        <v>6</v>
      </c>
      <c r="I15" s="43">
        <f t="shared" si="0"/>
        <v>1</v>
      </c>
      <c r="J15" s="43">
        <f t="shared" si="0"/>
        <v>0</v>
      </c>
      <c r="K15" s="43">
        <f t="shared" si="0"/>
        <v>2</v>
      </c>
      <c r="M15">
        <v>3</v>
      </c>
    </row>
    <row r="16" spans="7:13" x14ac:dyDescent="0.3">
      <c r="G16" s="96" t="s">
        <v>119</v>
      </c>
      <c r="H16" s="43">
        <f t="shared" si="0"/>
        <v>1</v>
      </c>
      <c r="I16" s="43">
        <f t="shared" si="0"/>
        <v>4</v>
      </c>
      <c r="J16" s="43">
        <f t="shared" si="0"/>
        <v>0</v>
      </c>
      <c r="K16" s="43">
        <f t="shared" si="0"/>
        <v>3</v>
      </c>
      <c r="M16">
        <v>7</v>
      </c>
    </row>
    <row r="17" spans="7:13" ht="15" thickBot="1" x14ac:dyDescent="0.35">
      <c r="G17" s="98" t="s">
        <v>120</v>
      </c>
      <c r="H17" s="43">
        <f t="shared" si="0"/>
        <v>0</v>
      </c>
      <c r="I17" s="43">
        <f t="shared" si="0"/>
        <v>1</v>
      </c>
      <c r="J17" s="43">
        <f t="shared" si="0"/>
        <v>0</v>
      </c>
      <c r="K17" s="43">
        <f t="shared" si="0"/>
        <v>1</v>
      </c>
      <c r="M17">
        <v>10</v>
      </c>
    </row>
    <row r="21" spans="7:13" ht="15" thickBot="1" x14ac:dyDescent="0.35">
      <c r="G21" t="s">
        <v>123</v>
      </c>
    </row>
    <row r="22" spans="7:13" x14ac:dyDescent="0.3">
      <c r="G22" s="93"/>
      <c r="H22" s="94" t="s">
        <v>113</v>
      </c>
      <c r="I22" s="94" t="s">
        <v>114</v>
      </c>
      <c r="J22" s="94" t="s">
        <v>115</v>
      </c>
      <c r="K22" s="95" t="s">
        <v>116</v>
      </c>
    </row>
    <row r="23" spans="7:13" x14ac:dyDescent="0.3">
      <c r="G23" s="96" t="s">
        <v>117</v>
      </c>
      <c r="H23" s="43">
        <f t="shared" ref="H23:K26" si="1">H14-H$28</f>
        <v>6</v>
      </c>
      <c r="I23" s="43">
        <f t="shared" si="1"/>
        <v>5</v>
      </c>
      <c r="J23" s="103">
        <f t="shared" si="1"/>
        <v>0</v>
      </c>
      <c r="K23" s="43">
        <f t="shared" si="1"/>
        <v>8</v>
      </c>
    </row>
    <row r="24" spans="7:13" x14ac:dyDescent="0.3">
      <c r="G24" s="96" t="s">
        <v>118</v>
      </c>
      <c r="H24" s="43">
        <f t="shared" si="1"/>
        <v>6</v>
      </c>
      <c r="I24" s="101">
        <f t="shared" si="1"/>
        <v>0</v>
      </c>
      <c r="J24" s="43">
        <f t="shared" si="1"/>
        <v>0</v>
      </c>
      <c r="K24" s="43">
        <f t="shared" si="1"/>
        <v>1</v>
      </c>
    </row>
    <row r="25" spans="7:13" x14ac:dyDescent="0.3">
      <c r="G25" s="96" t="s">
        <v>119</v>
      </c>
      <c r="H25" s="43">
        <f t="shared" si="1"/>
        <v>1</v>
      </c>
      <c r="I25" s="43">
        <f t="shared" si="1"/>
        <v>3</v>
      </c>
      <c r="J25" s="101">
        <f t="shared" si="1"/>
        <v>0</v>
      </c>
      <c r="K25" s="43">
        <f t="shared" si="1"/>
        <v>2</v>
      </c>
    </row>
    <row r="26" spans="7:13" ht="15" thickBot="1" x14ac:dyDescent="0.35">
      <c r="G26" s="98" t="s">
        <v>120</v>
      </c>
      <c r="H26" s="102">
        <f t="shared" si="1"/>
        <v>0</v>
      </c>
      <c r="I26" s="43">
        <f t="shared" si="1"/>
        <v>0</v>
      </c>
      <c r="J26" s="43">
        <f t="shared" si="1"/>
        <v>0</v>
      </c>
      <c r="K26" s="101">
        <f t="shared" si="1"/>
        <v>0</v>
      </c>
    </row>
    <row r="28" spans="7:13" x14ac:dyDescent="0.3">
      <c r="H28">
        <v>0</v>
      </c>
      <c r="I28">
        <v>1</v>
      </c>
      <c r="J28">
        <v>0</v>
      </c>
      <c r="K28">
        <v>1</v>
      </c>
    </row>
    <row r="30" spans="7:13" x14ac:dyDescent="0.3">
      <c r="G30" s="198" t="s">
        <v>124</v>
      </c>
      <c r="H30" s="198"/>
      <c r="I30" s="198"/>
      <c r="J30" s="198"/>
      <c r="K30" s="198"/>
    </row>
    <row r="32" spans="7:13" x14ac:dyDescent="0.3">
      <c r="G32" t="s">
        <v>126</v>
      </c>
    </row>
    <row r="34" spans="7:11" x14ac:dyDescent="0.3">
      <c r="G34" t="s">
        <v>125</v>
      </c>
    </row>
    <row r="36" spans="7:11" x14ac:dyDescent="0.3">
      <c r="G36" t="s">
        <v>127</v>
      </c>
    </row>
    <row r="39" spans="7:11" x14ac:dyDescent="0.3">
      <c r="G39" t="s">
        <v>128</v>
      </c>
    </row>
    <row r="41" spans="7:11" x14ac:dyDescent="0.3">
      <c r="G41" t="s">
        <v>129</v>
      </c>
    </row>
    <row r="42" spans="7:11" ht="15" thickBot="1" x14ac:dyDescent="0.35"/>
    <row r="43" spans="7:11" x14ac:dyDescent="0.3">
      <c r="G43" s="90"/>
      <c r="H43" s="91" t="s">
        <v>113</v>
      </c>
      <c r="I43" s="104" t="s">
        <v>114</v>
      </c>
      <c r="J43" s="104" t="s">
        <v>115</v>
      </c>
      <c r="K43" s="92" t="s">
        <v>116</v>
      </c>
    </row>
    <row r="44" spans="7:11" x14ac:dyDescent="0.3">
      <c r="G44" s="10" t="s">
        <v>117</v>
      </c>
      <c r="H44" s="11">
        <v>6</v>
      </c>
      <c r="I44" s="105">
        <v>5</v>
      </c>
      <c r="J44" s="105">
        <v>0</v>
      </c>
      <c r="K44" s="12">
        <v>8</v>
      </c>
    </row>
    <row r="45" spans="7:11" x14ac:dyDescent="0.3">
      <c r="G45" s="10" t="s">
        <v>118</v>
      </c>
      <c r="H45" s="11">
        <v>6</v>
      </c>
      <c r="I45" s="105">
        <v>0</v>
      </c>
      <c r="J45" s="105">
        <v>0</v>
      </c>
      <c r="K45" s="12">
        <v>1</v>
      </c>
    </row>
    <row r="46" spans="7:11" x14ac:dyDescent="0.3">
      <c r="G46" s="10" t="s">
        <v>119</v>
      </c>
      <c r="H46" s="11">
        <v>1</v>
      </c>
      <c r="I46" s="105">
        <v>3</v>
      </c>
      <c r="J46" s="105">
        <v>0</v>
      </c>
      <c r="K46" s="12">
        <v>2</v>
      </c>
    </row>
    <row r="47" spans="7:11" ht="15" thickBot="1" x14ac:dyDescent="0.35">
      <c r="G47" s="31" t="s">
        <v>120</v>
      </c>
      <c r="H47" s="106">
        <v>0</v>
      </c>
      <c r="I47" s="106">
        <v>0</v>
      </c>
      <c r="J47" s="106">
        <v>0</v>
      </c>
      <c r="K47" s="107">
        <v>0</v>
      </c>
    </row>
    <row r="50" spans="7:11" x14ac:dyDescent="0.3">
      <c r="G50" t="s">
        <v>130</v>
      </c>
    </row>
    <row r="51" spans="7:11" x14ac:dyDescent="0.3">
      <c r="G51" t="s">
        <v>131</v>
      </c>
    </row>
    <row r="54" spans="7:11" ht="15" thickBot="1" x14ac:dyDescent="0.35"/>
    <row r="55" spans="7:11" x14ac:dyDescent="0.3">
      <c r="G55" s="90"/>
      <c r="H55" s="91" t="s">
        <v>113</v>
      </c>
      <c r="I55" s="104" t="s">
        <v>114</v>
      </c>
      <c r="J55" s="104" t="s">
        <v>115</v>
      </c>
      <c r="K55" s="92" t="s">
        <v>116</v>
      </c>
    </row>
    <row r="56" spans="7:11" x14ac:dyDescent="0.3">
      <c r="G56" s="10" t="s">
        <v>117</v>
      </c>
      <c r="H56" s="12">
        <f>H44-1</f>
        <v>5</v>
      </c>
      <c r="I56" s="105">
        <v>5</v>
      </c>
      <c r="J56" s="105">
        <v>0</v>
      </c>
      <c r="K56" s="12">
        <f>K44-1</f>
        <v>7</v>
      </c>
    </row>
    <row r="57" spans="7:11" x14ac:dyDescent="0.3">
      <c r="G57" s="10" t="s">
        <v>118</v>
      </c>
      <c r="H57" s="12">
        <f>H45-1</f>
        <v>5</v>
      </c>
      <c r="I57" s="105">
        <v>0</v>
      </c>
      <c r="J57" s="105">
        <v>0</v>
      </c>
      <c r="K57" s="12">
        <f>K45-1</f>
        <v>0</v>
      </c>
    </row>
    <row r="58" spans="7:11" x14ac:dyDescent="0.3">
      <c r="G58" s="10" t="s">
        <v>119</v>
      </c>
      <c r="H58" s="12">
        <f>H46-1</f>
        <v>0</v>
      </c>
      <c r="I58" s="105">
        <v>3</v>
      </c>
      <c r="J58" s="105">
        <v>0</v>
      </c>
      <c r="K58" s="12">
        <f>K46-1</f>
        <v>1</v>
      </c>
    </row>
    <row r="59" spans="7:11" ht="15" thickBot="1" x14ac:dyDescent="0.35">
      <c r="G59" s="31" t="s">
        <v>120</v>
      </c>
      <c r="H59" s="106">
        <v>0</v>
      </c>
      <c r="I59" s="106">
        <v>1</v>
      </c>
      <c r="J59" s="106">
        <v>1</v>
      </c>
      <c r="K59" s="107">
        <v>0</v>
      </c>
    </row>
    <row r="65" spans="7:17" ht="15" thickBot="1" x14ac:dyDescent="0.35">
      <c r="G65" t="s">
        <v>132</v>
      </c>
    </row>
    <row r="66" spans="7:17" x14ac:dyDescent="0.3">
      <c r="G66" s="108"/>
      <c r="H66" s="109" t="s">
        <v>113</v>
      </c>
      <c r="I66" s="109" t="s">
        <v>114</v>
      </c>
      <c r="J66" s="109" t="s">
        <v>115</v>
      </c>
      <c r="K66" s="110" t="s">
        <v>116</v>
      </c>
      <c r="M66" s="93"/>
      <c r="N66" s="94" t="s">
        <v>113</v>
      </c>
      <c r="O66" s="94" t="s">
        <v>114</v>
      </c>
      <c r="P66" s="94" t="s">
        <v>115</v>
      </c>
      <c r="Q66" s="95" t="s">
        <v>116</v>
      </c>
    </row>
    <row r="67" spans="7:17" x14ac:dyDescent="0.3">
      <c r="G67" s="111" t="s">
        <v>117</v>
      </c>
      <c r="H67" s="112">
        <v>5</v>
      </c>
      <c r="I67" s="113">
        <v>5</v>
      </c>
      <c r="J67" s="116">
        <v>0</v>
      </c>
      <c r="K67" s="112">
        <v>7</v>
      </c>
      <c r="M67" s="96" t="s">
        <v>117</v>
      </c>
      <c r="N67" s="43"/>
      <c r="O67" s="43"/>
      <c r="P67" s="43">
        <v>2</v>
      </c>
      <c r="Q67" s="97"/>
    </row>
    <row r="68" spans="7:17" x14ac:dyDescent="0.3">
      <c r="G68" s="111" t="s">
        <v>118</v>
      </c>
      <c r="H68" s="112">
        <v>5</v>
      </c>
      <c r="I68" s="116">
        <v>0</v>
      </c>
      <c r="J68" s="113">
        <v>0</v>
      </c>
      <c r="K68" s="112">
        <v>0</v>
      </c>
      <c r="M68" s="96" t="s">
        <v>118</v>
      </c>
      <c r="N68" s="43"/>
      <c r="O68" s="43">
        <v>4</v>
      </c>
      <c r="P68" s="43"/>
      <c r="Q68" s="97"/>
    </row>
    <row r="69" spans="7:17" x14ac:dyDescent="0.3">
      <c r="G69" s="111" t="s">
        <v>119</v>
      </c>
      <c r="H69" s="117">
        <v>0</v>
      </c>
      <c r="I69" s="113">
        <v>3</v>
      </c>
      <c r="J69" s="113">
        <v>0</v>
      </c>
      <c r="K69" s="112">
        <v>1</v>
      </c>
      <c r="M69" s="96" t="s">
        <v>119</v>
      </c>
      <c r="N69" s="43">
        <v>8</v>
      </c>
      <c r="O69" s="43"/>
      <c r="P69" s="43"/>
      <c r="Q69" s="97"/>
    </row>
    <row r="70" spans="7:17" ht="15" thickBot="1" x14ac:dyDescent="0.35">
      <c r="G70" s="114" t="s">
        <v>120</v>
      </c>
      <c r="H70" s="115">
        <v>0</v>
      </c>
      <c r="I70" s="115">
        <v>1</v>
      </c>
      <c r="J70" s="115">
        <v>1</v>
      </c>
      <c r="K70" s="118">
        <v>0</v>
      </c>
      <c r="M70" s="98" t="s">
        <v>120</v>
      </c>
      <c r="N70" s="99"/>
      <c r="O70" s="99"/>
      <c r="P70" s="99"/>
      <c r="Q70" s="100">
        <v>11</v>
      </c>
    </row>
    <row r="72" spans="7:17" ht="21" x14ac:dyDescent="0.4">
      <c r="G72" s="119" t="s">
        <v>133</v>
      </c>
      <c r="H72" s="119"/>
      <c r="I72" s="119"/>
      <c r="J72" s="119"/>
      <c r="K72" s="120">
        <f xml:space="preserve"> 2 +4 +8 +11</f>
        <v>25</v>
      </c>
      <c r="L72" t="s">
        <v>138</v>
      </c>
    </row>
    <row r="73" spans="7:17" ht="23.4" x14ac:dyDescent="0.45">
      <c r="G73" s="119"/>
      <c r="H73" s="119"/>
      <c r="I73" s="119"/>
      <c r="J73" s="119"/>
      <c r="K73" s="121"/>
    </row>
    <row r="74" spans="7:17" ht="21" x14ac:dyDescent="0.4">
      <c r="G74" s="119" t="s">
        <v>134</v>
      </c>
      <c r="H74" s="119"/>
      <c r="I74" s="119"/>
      <c r="J74" s="119"/>
    </row>
    <row r="75" spans="7:17" ht="21" x14ac:dyDescent="0.4">
      <c r="G75" s="119" t="s">
        <v>135</v>
      </c>
      <c r="H75" s="119"/>
      <c r="I75" s="119"/>
      <c r="J75" s="119"/>
    </row>
    <row r="76" spans="7:17" ht="21" x14ac:dyDescent="0.4">
      <c r="G76" s="119" t="s">
        <v>136</v>
      </c>
      <c r="H76" s="119"/>
      <c r="I76" s="119"/>
      <c r="J76" s="119"/>
    </row>
    <row r="77" spans="7:17" ht="21" x14ac:dyDescent="0.4">
      <c r="G77" s="119" t="s">
        <v>137</v>
      </c>
      <c r="H77" s="119"/>
      <c r="I77" s="119"/>
      <c r="J77" s="119"/>
    </row>
  </sheetData>
  <mergeCells count="1">
    <mergeCell ref="G30:K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1904-1065-4F3F-BA21-232CC3EA14F4}">
  <dimension ref="A2:AG101"/>
  <sheetViews>
    <sheetView topLeftCell="A96" zoomScale="76" zoomScaleNormal="85" workbookViewId="0">
      <selection activeCell="O4" sqref="O4:S5"/>
    </sheetView>
  </sheetViews>
  <sheetFormatPr defaultRowHeight="14.4" x14ac:dyDescent="0.3"/>
  <cols>
    <col min="14" max="14" width="8.88671875" customWidth="1"/>
    <col min="15" max="15" width="7.5546875" customWidth="1"/>
  </cols>
  <sheetData>
    <row r="2" spans="1:33" ht="25.8" x14ac:dyDescent="0.5">
      <c r="O2" s="125" t="s">
        <v>168</v>
      </c>
    </row>
    <row r="3" spans="1:33" x14ac:dyDescent="0.3">
      <c r="AC3" t="s">
        <v>139</v>
      </c>
      <c r="AD3" t="s">
        <v>169</v>
      </c>
      <c r="AE3" t="s">
        <v>170</v>
      </c>
      <c r="AF3" s="177" t="s">
        <v>30</v>
      </c>
      <c r="AG3" s="177"/>
    </row>
    <row r="4" spans="1:33" x14ac:dyDescent="0.3">
      <c r="O4" t="s">
        <v>139</v>
      </c>
      <c r="P4" t="s">
        <v>169</v>
      </c>
      <c r="Q4" t="s">
        <v>170</v>
      </c>
      <c r="R4" s="177" t="s">
        <v>30</v>
      </c>
      <c r="S4" s="177"/>
      <c r="AC4">
        <v>1.9998218844149751</v>
      </c>
      <c r="AD4">
        <v>3.0003570691174177</v>
      </c>
      <c r="AE4">
        <f>2*AC4+AD4</f>
        <v>7.0000008379473684</v>
      </c>
      <c r="AF4" s="177">
        <f>AC4*AC4 - 2*AC4 +AD4</f>
        <v>3.0000008696725295</v>
      </c>
      <c r="AG4" s="177"/>
    </row>
    <row r="5" spans="1:33" x14ac:dyDescent="0.3">
      <c r="O5">
        <v>0</v>
      </c>
      <c r="P5">
        <v>0</v>
      </c>
      <c r="Q5">
        <f>2*O5+P5</f>
        <v>0</v>
      </c>
      <c r="R5" s="177">
        <f>O5*O5 - 2*O5 +P5</f>
        <v>0</v>
      </c>
      <c r="S5" s="177"/>
    </row>
    <row r="16" spans="1:33" x14ac:dyDescent="0.3">
      <c r="A16" t="s">
        <v>140</v>
      </c>
    </row>
    <row r="20" spans="1:9" ht="31.2" x14ac:dyDescent="0.6">
      <c r="A20" s="126" t="s">
        <v>141</v>
      </c>
    </row>
    <row r="21" spans="1:9" ht="15" thickBot="1" x14ac:dyDescent="0.35"/>
    <row r="22" spans="1:9" ht="15" thickBot="1" x14ac:dyDescent="0.35">
      <c r="A22" s="192" t="s">
        <v>142</v>
      </c>
      <c r="B22" s="239"/>
      <c r="C22" s="239"/>
      <c r="D22" s="193"/>
      <c r="F22" s="192" t="s">
        <v>151</v>
      </c>
      <c r="G22" s="239"/>
      <c r="H22" s="239"/>
      <c r="I22" s="193"/>
    </row>
    <row r="23" spans="1:9" x14ac:dyDescent="0.3">
      <c r="A23" s="202" t="s">
        <v>143</v>
      </c>
      <c r="B23" s="203"/>
      <c r="C23" s="203"/>
      <c r="D23" s="204"/>
      <c r="F23" s="202" t="s">
        <v>143</v>
      </c>
      <c r="G23" s="203"/>
      <c r="H23" s="203"/>
      <c r="I23" s="204"/>
    </row>
    <row r="24" spans="1:9" x14ac:dyDescent="0.3">
      <c r="A24" s="205" t="s">
        <v>144</v>
      </c>
      <c r="B24" s="206"/>
      <c r="C24" s="206"/>
      <c r="D24" s="207"/>
      <c r="F24" s="205" t="s">
        <v>144</v>
      </c>
      <c r="G24" s="206"/>
      <c r="H24" s="206"/>
      <c r="I24" s="207"/>
    </row>
    <row r="25" spans="1:9" ht="15" thickBot="1" x14ac:dyDescent="0.35">
      <c r="A25" s="199" t="s">
        <v>145</v>
      </c>
      <c r="B25" s="200"/>
      <c r="C25" s="200"/>
      <c r="D25" s="201"/>
      <c r="F25" s="199" t="s">
        <v>156</v>
      </c>
      <c r="G25" s="200"/>
      <c r="H25" s="200"/>
      <c r="I25" s="201"/>
    </row>
    <row r="27" spans="1:9" x14ac:dyDescent="0.3">
      <c r="A27" t="s">
        <v>146</v>
      </c>
    </row>
    <row r="37" spans="1:7" ht="15" thickBot="1" x14ac:dyDescent="0.35"/>
    <row r="38" spans="1:7" ht="15" thickBot="1" x14ac:dyDescent="0.35">
      <c r="A38" s="240" t="s">
        <v>147</v>
      </c>
      <c r="B38" s="241"/>
      <c r="C38" s="241"/>
      <c r="D38" s="241"/>
      <c r="E38" s="241"/>
      <c r="F38" s="242"/>
    </row>
    <row r="39" spans="1:7" x14ac:dyDescent="0.3">
      <c r="A39" s="231" t="s">
        <v>149</v>
      </c>
      <c r="B39" s="232"/>
      <c r="C39" s="232"/>
      <c r="D39" s="232"/>
      <c r="E39" s="232"/>
      <c r="F39" s="233"/>
    </row>
    <row r="40" spans="1:7" x14ac:dyDescent="0.3">
      <c r="A40" s="211" t="s">
        <v>150</v>
      </c>
      <c r="B40" s="212"/>
      <c r="C40" s="212"/>
      <c r="D40" s="212"/>
      <c r="E40" s="212"/>
      <c r="F40" s="213"/>
    </row>
    <row r="41" spans="1:7" x14ac:dyDescent="0.3">
      <c r="A41" s="211" t="s">
        <v>157</v>
      </c>
      <c r="B41" s="212"/>
      <c r="C41" s="212"/>
      <c r="D41" s="212"/>
      <c r="E41" s="212"/>
      <c r="F41" s="213"/>
    </row>
    <row r="42" spans="1:7" x14ac:dyDescent="0.3">
      <c r="A42" s="237" t="s">
        <v>153</v>
      </c>
      <c r="B42" s="235"/>
      <c r="C42" s="238"/>
      <c r="D42" s="234" t="s">
        <v>152</v>
      </c>
      <c r="E42" s="235"/>
      <c r="F42" s="236"/>
    </row>
    <row r="43" spans="1:7" ht="15" thickBot="1" x14ac:dyDescent="0.35">
      <c r="A43" s="228" t="s">
        <v>154</v>
      </c>
      <c r="B43" s="229"/>
      <c r="C43" s="229"/>
      <c r="D43" s="229"/>
      <c r="E43" s="229"/>
      <c r="F43" s="230"/>
    </row>
    <row r="44" spans="1:7" x14ac:dyDescent="0.3">
      <c r="A44" s="208" t="s">
        <v>148</v>
      </c>
      <c r="B44" s="209"/>
      <c r="C44" s="209"/>
      <c r="D44" s="209"/>
      <c r="E44" s="209"/>
      <c r="F44" s="210"/>
    </row>
    <row r="45" spans="1:7" x14ac:dyDescent="0.3">
      <c r="A45" s="211" t="s">
        <v>155</v>
      </c>
      <c r="B45" s="212"/>
      <c r="C45" s="212"/>
      <c r="D45" s="212"/>
      <c r="E45" s="212"/>
      <c r="F45" s="213"/>
    </row>
    <row r="46" spans="1:7" x14ac:dyDescent="0.3">
      <c r="A46" s="211" t="s">
        <v>159</v>
      </c>
      <c r="B46" s="212"/>
      <c r="C46" s="212"/>
      <c r="D46" s="212"/>
      <c r="E46" s="212"/>
      <c r="F46" s="213"/>
      <c r="G46" t="s">
        <v>158</v>
      </c>
    </row>
    <row r="47" spans="1:7" ht="15" thickBot="1" x14ac:dyDescent="0.35">
      <c r="A47" s="214" t="s">
        <v>161</v>
      </c>
      <c r="B47" s="215"/>
      <c r="C47" s="216"/>
      <c r="D47" s="217" t="s">
        <v>160</v>
      </c>
      <c r="E47" s="215"/>
      <c r="F47" s="218"/>
    </row>
    <row r="54" spans="1:14" x14ac:dyDescent="0.3">
      <c r="A54" s="127"/>
      <c r="B54" s="127"/>
      <c r="C54" s="127"/>
      <c r="D54" s="127"/>
      <c r="E54" s="127"/>
      <c r="F54" s="127"/>
      <c r="G54" s="127"/>
      <c r="H54" s="127"/>
      <c r="I54" s="127"/>
      <c r="J54" s="124"/>
      <c r="K54" s="124"/>
      <c r="L54" s="124"/>
      <c r="M54" s="124"/>
      <c r="N54" s="124"/>
    </row>
    <row r="55" spans="1:14" x14ac:dyDescent="0.3">
      <c r="A55" t="s">
        <v>171</v>
      </c>
    </row>
    <row r="56" spans="1:14" ht="15" thickBot="1" x14ac:dyDescent="0.35"/>
    <row r="57" spans="1:14" ht="15" thickBot="1" x14ac:dyDescent="0.35">
      <c r="A57" s="219" t="s">
        <v>162</v>
      </c>
      <c r="B57" s="220"/>
      <c r="C57" s="220"/>
      <c r="D57" s="221"/>
      <c r="F57" s="219" t="s">
        <v>164</v>
      </c>
      <c r="G57" s="220"/>
      <c r="H57" s="220"/>
      <c r="I57" s="221"/>
    </row>
    <row r="58" spans="1:14" x14ac:dyDescent="0.3">
      <c r="A58" s="222" t="s">
        <v>163</v>
      </c>
      <c r="B58" s="223"/>
      <c r="C58" s="223"/>
      <c r="D58" s="224"/>
      <c r="F58" s="205" t="s">
        <v>165</v>
      </c>
      <c r="G58" s="206"/>
      <c r="H58" s="206"/>
      <c r="I58" s="207"/>
    </row>
    <row r="59" spans="1:14" x14ac:dyDescent="0.3">
      <c r="A59" s="211" t="s">
        <v>218</v>
      </c>
      <c r="B59" s="212"/>
      <c r="C59" s="212"/>
      <c r="D59" s="213"/>
      <c r="F59" s="205" t="s">
        <v>166</v>
      </c>
      <c r="G59" s="206"/>
      <c r="H59" s="206"/>
      <c r="I59" s="207"/>
    </row>
    <row r="60" spans="1:14" x14ac:dyDescent="0.3">
      <c r="A60" s="211" t="s">
        <v>172</v>
      </c>
      <c r="B60" s="212"/>
      <c r="C60" s="212"/>
      <c r="D60" s="213"/>
      <c r="F60" s="205" t="s">
        <v>167</v>
      </c>
      <c r="G60" s="206"/>
      <c r="H60" s="206"/>
      <c r="I60" s="207"/>
    </row>
    <row r="61" spans="1:14" ht="28.2" customHeight="1" thickBot="1" x14ac:dyDescent="0.35">
      <c r="A61" s="225" t="s">
        <v>182</v>
      </c>
      <c r="B61" s="226"/>
      <c r="C61" s="226"/>
      <c r="D61" s="227"/>
      <c r="F61" s="199" t="s">
        <v>173</v>
      </c>
      <c r="G61" s="200"/>
      <c r="H61" s="200"/>
      <c r="I61" s="201"/>
    </row>
    <row r="74" spans="1:3" x14ac:dyDescent="0.3">
      <c r="A74" t="s">
        <v>174</v>
      </c>
    </row>
    <row r="76" spans="1:3" x14ac:dyDescent="0.3">
      <c r="A76" t="s">
        <v>175</v>
      </c>
    </row>
    <row r="78" spans="1:3" x14ac:dyDescent="0.3">
      <c r="A78" t="s">
        <v>176</v>
      </c>
    </row>
    <row r="79" spans="1:3" x14ac:dyDescent="0.3">
      <c r="A79" t="s">
        <v>177</v>
      </c>
    </row>
    <row r="80" spans="1:3" x14ac:dyDescent="0.3">
      <c r="A80" s="177" t="s">
        <v>178</v>
      </c>
      <c r="B80" s="177"/>
      <c r="C80" t="s">
        <v>179</v>
      </c>
    </row>
    <row r="81" spans="1:20" x14ac:dyDescent="0.3">
      <c r="A81" t="s">
        <v>180</v>
      </c>
    </row>
    <row r="82" spans="1:20" x14ac:dyDescent="0.3">
      <c r="A82" t="s">
        <v>181</v>
      </c>
    </row>
    <row r="83" spans="1:20" x14ac:dyDescent="0.3">
      <c r="A83" t="s">
        <v>183</v>
      </c>
      <c r="S83" t="s">
        <v>188</v>
      </c>
    </row>
    <row r="86" spans="1:20" ht="15" thickBot="1" x14ac:dyDescent="0.35"/>
    <row r="87" spans="1:20" ht="15" customHeight="1" thickBot="1" x14ac:dyDescent="0.35">
      <c r="A87" s="219" t="s">
        <v>164</v>
      </c>
      <c r="B87" s="220"/>
      <c r="C87" s="220"/>
      <c r="D87" s="221"/>
      <c r="H87" s="246" t="s">
        <v>185</v>
      </c>
      <c r="I87" s="247"/>
      <c r="J87" s="247"/>
      <c r="K87" s="247"/>
      <c r="L87" s="247"/>
      <c r="M87" s="247"/>
      <c r="N87" s="247"/>
      <c r="O87" s="247"/>
      <c r="P87" s="247"/>
      <c r="Q87" s="247"/>
      <c r="R87" s="247"/>
      <c r="S87" s="247"/>
      <c r="T87" s="248"/>
    </row>
    <row r="88" spans="1:20" ht="14.4" customHeight="1" x14ac:dyDescent="0.3">
      <c r="A88" s="205" t="s">
        <v>165</v>
      </c>
      <c r="B88" s="206"/>
      <c r="C88" s="206"/>
      <c r="D88" s="207"/>
      <c r="H88" s="249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1"/>
    </row>
    <row r="89" spans="1:20" ht="14.4" customHeight="1" x14ac:dyDescent="0.3">
      <c r="A89" s="205" t="s">
        <v>166</v>
      </c>
      <c r="B89" s="206"/>
      <c r="C89" s="206"/>
      <c r="D89" s="207"/>
      <c r="H89" s="249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1"/>
    </row>
    <row r="90" spans="1:20" ht="14.4" customHeight="1" x14ac:dyDescent="0.3">
      <c r="A90" s="205" t="s">
        <v>167</v>
      </c>
      <c r="B90" s="206"/>
      <c r="C90" s="206"/>
      <c r="D90" s="207"/>
      <c r="H90" s="249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1"/>
    </row>
    <row r="91" spans="1:20" ht="15" customHeight="1" thickBot="1" x14ac:dyDescent="0.35">
      <c r="A91" s="199" t="s">
        <v>184</v>
      </c>
      <c r="B91" s="200"/>
      <c r="C91" s="200"/>
      <c r="D91" s="201"/>
      <c r="H91" s="252"/>
      <c r="I91" s="253"/>
      <c r="J91" s="253"/>
      <c r="K91" s="253"/>
      <c r="L91" s="253"/>
      <c r="M91" s="253"/>
      <c r="N91" s="253"/>
      <c r="O91" s="253"/>
      <c r="P91" s="253"/>
      <c r="Q91" s="253"/>
      <c r="R91" s="253"/>
      <c r="S91" s="253"/>
      <c r="T91" s="254"/>
    </row>
    <row r="92" spans="1:20" ht="14.4" customHeight="1" x14ac:dyDescent="0.3">
      <c r="H92" s="243" t="s">
        <v>186</v>
      </c>
      <c r="I92" s="244"/>
      <c r="J92" s="244"/>
      <c r="K92" s="244"/>
      <c r="L92" s="244"/>
      <c r="M92" s="244"/>
      <c r="N92" s="244"/>
      <c r="O92" s="244"/>
      <c r="P92" s="244"/>
      <c r="Q92" s="244"/>
      <c r="R92" s="244"/>
      <c r="S92" s="244"/>
      <c r="T92" s="245"/>
    </row>
    <row r="93" spans="1:20" ht="14.4" customHeight="1" x14ac:dyDescent="0.3">
      <c r="H93" s="243"/>
      <c r="I93" s="244"/>
      <c r="J93" s="244"/>
      <c r="K93" s="244"/>
      <c r="L93" s="244"/>
      <c r="M93" s="244"/>
      <c r="N93" s="244"/>
      <c r="O93" s="244"/>
      <c r="P93" s="244"/>
      <c r="Q93" s="244"/>
      <c r="R93" s="244"/>
      <c r="S93" s="244"/>
      <c r="T93" s="245"/>
    </row>
    <row r="94" spans="1:20" ht="14.4" customHeight="1" x14ac:dyDescent="0.3">
      <c r="H94" s="243"/>
      <c r="I94" s="244"/>
      <c r="J94" s="244"/>
      <c r="K94" s="244"/>
      <c r="L94" s="244"/>
      <c r="M94" s="244"/>
      <c r="N94" s="244"/>
      <c r="O94" s="244"/>
      <c r="P94" s="244"/>
      <c r="Q94" s="244"/>
      <c r="R94" s="244"/>
      <c r="S94" s="244"/>
      <c r="T94" s="245"/>
    </row>
    <row r="95" spans="1:20" ht="14.4" customHeight="1" x14ac:dyDescent="0.3">
      <c r="H95" s="243"/>
      <c r="I95" s="244"/>
      <c r="J95" s="244"/>
      <c r="K95" s="244"/>
      <c r="L95" s="244"/>
      <c r="M95" s="244"/>
      <c r="N95" s="244"/>
      <c r="O95" s="244"/>
      <c r="P95" s="244"/>
      <c r="Q95" s="244"/>
      <c r="R95" s="244"/>
      <c r="S95" s="244"/>
      <c r="T95" s="245"/>
    </row>
    <row r="96" spans="1:20" ht="14.4" customHeight="1" x14ac:dyDescent="0.3">
      <c r="H96" s="243"/>
      <c r="I96" s="244"/>
      <c r="J96" s="244"/>
      <c r="K96" s="244"/>
      <c r="L96" s="244"/>
      <c r="M96" s="244"/>
      <c r="N96" s="244"/>
      <c r="O96" s="244"/>
      <c r="P96" s="244"/>
      <c r="Q96" s="244"/>
      <c r="R96" s="244"/>
      <c r="S96" s="244"/>
      <c r="T96" s="245"/>
    </row>
    <row r="97" spans="8:20" ht="14.4" customHeight="1" x14ac:dyDescent="0.3">
      <c r="H97" s="243" t="s">
        <v>187</v>
      </c>
      <c r="I97" s="244"/>
      <c r="J97" s="244"/>
      <c r="K97" s="244"/>
      <c r="L97" s="244"/>
      <c r="M97" s="244"/>
      <c r="N97" s="244"/>
      <c r="O97" s="244"/>
      <c r="P97" s="244"/>
      <c r="Q97" s="244"/>
      <c r="R97" s="244"/>
      <c r="S97" s="244"/>
      <c r="T97" s="245"/>
    </row>
    <row r="98" spans="8:20" ht="14.4" customHeight="1" x14ac:dyDescent="0.3">
      <c r="H98" s="243"/>
      <c r="I98" s="244"/>
      <c r="J98" s="244"/>
      <c r="K98" s="244"/>
      <c r="L98" s="244"/>
      <c r="M98" s="244"/>
      <c r="N98" s="244"/>
      <c r="O98" s="244"/>
      <c r="P98" s="244"/>
      <c r="Q98" s="244"/>
      <c r="R98" s="244"/>
      <c r="S98" s="244"/>
      <c r="T98" s="245"/>
    </row>
    <row r="99" spans="8:20" ht="14.4" customHeight="1" x14ac:dyDescent="0.3">
      <c r="H99" s="243"/>
      <c r="I99" s="244"/>
      <c r="J99" s="244"/>
      <c r="K99" s="244"/>
      <c r="L99" s="244"/>
      <c r="M99" s="244"/>
      <c r="N99" s="244"/>
      <c r="O99" s="244"/>
      <c r="P99" s="244"/>
      <c r="Q99" s="244"/>
      <c r="R99" s="244"/>
      <c r="S99" s="244"/>
      <c r="T99" s="245"/>
    </row>
    <row r="100" spans="8:20" ht="14.4" customHeight="1" x14ac:dyDescent="0.3">
      <c r="H100" s="243"/>
      <c r="I100" s="244"/>
      <c r="J100" s="244"/>
      <c r="K100" s="244"/>
      <c r="L100" s="244"/>
      <c r="M100" s="244"/>
      <c r="N100" s="244"/>
      <c r="O100" s="244"/>
      <c r="P100" s="244"/>
      <c r="Q100" s="244"/>
      <c r="R100" s="244"/>
      <c r="S100" s="244"/>
      <c r="T100" s="245"/>
    </row>
    <row r="101" spans="8:20" ht="14.4" customHeight="1" thickBot="1" x14ac:dyDescent="0.35">
      <c r="H101" s="255"/>
      <c r="I101" s="256"/>
      <c r="J101" s="256"/>
      <c r="K101" s="256"/>
      <c r="L101" s="256"/>
      <c r="M101" s="256"/>
      <c r="N101" s="256"/>
      <c r="O101" s="256"/>
      <c r="P101" s="256"/>
      <c r="Q101" s="256"/>
      <c r="R101" s="256"/>
      <c r="S101" s="256"/>
      <c r="T101" s="257"/>
    </row>
  </sheetData>
  <mergeCells count="43">
    <mergeCell ref="H92:T96"/>
    <mergeCell ref="H87:T91"/>
    <mergeCell ref="H97:T101"/>
    <mergeCell ref="A87:D87"/>
    <mergeCell ref="A88:D88"/>
    <mergeCell ref="A89:D89"/>
    <mergeCell ref="A90:D90"/>
    <mergeCell ref="A91:D91"/>
    <mergeCell ref="R4:S4"/>
    <mergeCell ref="R5:S5"/>
    <mergeCell ref="AF3:AG3"/>
    <mergeCell ref="AF4:AG4"/>
    <mergeCell ref="F57:I57"/>
    <mergeCell ref="A43:F43"/>
    <mergeCell ref="A39:F39"/>
    <mergeCell ref="A40:F40"/>
    <mergeCell ref="A41:F41"/>
    <mergeCell ref="D42:F42"/>
    <mergeCell ref="A42:C42"/>
    <mergeCell ref="F22:I22"/>
    <mergeCell ref="A22:D22"/>
    <mergeCell ref="A38:F38"/>
    <mergeCell ref="A23:D23"/>
    <mergeCell ref="A24:D24"/>
    <mergeCell ref="A80:B80"/>
    <mergeCell ref="A57:D57"/>
    <mergeCell ref="A58:D58"/>
    <mergeCell ref="A59:D59"/>
    <mergeCell ref="A60:D60"/>
    <mergeCell ref="A61:D61"/>
    <mergeCell ref="F59:I59"/>
    <mergeCell ref="F60:I60"/>
    <mergeCell ref="F61:I61"/>
    <mergeCell ref="A44:F44"/>
    <mergeCell ref="A45:F45"/>
    <mergeCell ref="A46:F46"/>
    <mergeCell ref="A47:C47"/>
    <mergeCell ref="D47:F47"/>
    <mergeCell ref="A25:D25"/>
    <mergeCell ref="F23:I23"/>
    <mergeCell ref="F24:I24"/>
    <mergeCell ref="F25:I25"/>
    <mergeCell ref="F58:I5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39FA-B6B1-414A-947B-7B12ABB5EE5C}">
  <dimension ref="A4:R55"/>
  <sheetViews>
    <sheetView topLeftCell="A26" zoomScaleNormal="130" workbookViewId="0">
      <selection activeCell="P41" sqref="P41"/>
    </sheetView>
  </sheetViews>
  <sheetFormatPr defaultRowHeight="14.4" x14ac:dyDescent="0.3"/>
  <cols>
    <col min="11" max="12" width="9.6640625" bestFit="1" customWidth="1"/>
  </cols>
  <sheetData>
    <row r="4" spans="1:18" x14ac:dyDescent="0.3">
      <c r="N4" t="s">
        <v>139</v>
      </c>
      <c r="O4" t="s">
        <v>169</v>
      </c>
      <c r="P4" t="s">
        <v>170</v>
      </c>
      <c r="Q4" s="177" t="s">
        <v>30</v>
      </c>
      <c r="R4" s="177"/>
    </row>
    <row r="5" spans="1:18" x14ac:dyDescent="0.3">
      <c r="N5">
        <v>0.74999998323619421</v>
      </c>
      <c r="O5">
        <v>2.2499999497085823</v>
      </c>
      <c r="P5">
        <f>3*N5*N5 -N5*O5 +3*O5</f>
        <v>6.7499998491257465</v>
      </c>
      <c r="Q5" s="177">
        <f>N5+O5</f>
        <v>2.9999999329447764</v>
      </c>
      <c r="R5" s="177"/>
    </row>
    <row r="16" spans="1:18" x14ac:dyDescent="0.3">
      <c r="A16" t="s">
        <v>140</v>
      </c>
    </row>
    <row r="20" spans="1:7" ht="31.2" x14ac:dyDescent="0.6">
      <c r="A20" s="126" t="s">
        <v>189</v>
      </c>
    </row>
    <row r="23" spans="1:7" x14ac:dyDescent="0.3">
      <c r="A23" t="s">
        <v>191</v>
      </c>
    </row>
    <row r="24" spans="1:7" x14ac:dyDescent="0.3">
      <c r="A24" s="128" t="s">
        <v>190</v>
      </c>
    </row>
    <row r="25" spans="1:7" ht="15" thickBot="1" x14ac:dyDescent="0.35"/>
    <row r="26" spans="1:7" ht="15" thickBot="1" x14ac:dyDescent="0.35">
      <c r="A26" s="90" t="s">
        <v>192</v>
      </c>
      <c r="B26" s="91"/>
      <c r="C26" s="91"/>
      <c r="D26" s="92"/>
    </row>
    <row r="27" spans="1:7" ht="21" x14ac:dyDescent="0.4">
      <c r="A27" s="123" t="s">
        <v>193</v>
      </c>
      <c r="B27" s="261" t="s">
        <v>196</v>
      </c>
      <c r="C27" s="261"/>
      <c r="D27" s="262"/>
      <c r="E27" s="129" t="s">
        <v>200</v>
      </c>
    </row>
    <row r="28" spans="1:7" ht="21" x14ac:dyDescent="0.4">
      <c r="A28" s="6" t="s">
        <v>194</v>
      </c>
      <c r="B28" s="263" t="s">
        <v>197</v>
      </c>
      <c r="C28" s="263"/>
      <c r="D28" s="264"/>
      <c r="E28" s="129" t="s">
        <v>201</v>
      </c>
    </row>
    <row r="29" spans="1:7" ht="21.6" thickBot="1" x14ac:dyDescent="0.45">
      <c r="A29" s="122" t="s">
        <v>195</v>
      </c>
      <c r="B29" s="265" t="s">
        <v>198</v>
      </c>
      <c r="C29" s="265"/>
      <c r="D29" s="266"/>
      <c r="E29" s="129" t="s">
        <v>202</v>
      </c>
    </row>
    <row r="30" spans="1:7" ht="15" thickBot="1" x14ac:dyDescent="0.35"/>
    <row r="31" spans="1:7" ht="15" thickBot="1" x14ac:dyDescent="0.35">
      <c r="A31" s="267" t="s">
        <v>199</v>
      </c>
      <c r="B31" s="268"/>
      <c r="C31" s="268"/>
      <c r="D31" s="268"/>
      <c r="E31" s="268"/>
      <c r="F31" s="268"/>
      <c r="G31" s="269"/>
    </row>
    <row r="32" spans="1:7" x14ac:dyDescent="0.3">
      <c r="A32" s="274" t="s">
        <v>204</v>
      </c>
      <c r="B32" s="275"/>
      <c r="C32" s="275"/>
      <c r="D32" s="275"/>
      <c r="E32" s="275"/>
      <c r="F32" s="275"/>
      <c r="G32" s="276"/>
    </row>
    <row r="33" spans="1:12" x14ac:dyDescent="0.3">
      <c r="A33" s="285" t="s">
        <v>203</v>
      </c>
      <c r="B33" s="286"/>
      <c r="C33" s="286"/>
      <c r="D33" s="286"/>
      <c r="E33" s="286"/>
      <c r="F33" s="286"/>
      <c r="G33" s="287"/>
    </row>
    <row r="34" spans="1:12" x14ac:dyDescent="0.3">
      <c r="A34" s="277" t="s">
        <v>205</v>
      </c>
      <c r="B34" s="278"/>
      <c r="C34" s="278"/>
      <c r="D34" s="278"/>
      <c r="E34" s="278"/>
      <c r="F34" s="278"/>
      <c r="G34" s="279"/>
    </row>
    <row r="35" spans="1:12" ht="21" x14ac:dyDescent="0.4">
      <c r="A35" s="280" t="s">
        <v>219</v>
      </c>
      <c r="B35" s="281"/>
      <c r="C35" s="130" t="s">
        <v>206</v>
      </c>
      <c r="D35" s="282" t="s">
        <v>207</v>
      </c>
      <c r="E35" s="282"/>
      <c r="F35" s="282"/>
      <c r="G35" s="283"/>
      <c r="H35" s="129" t="s">
        <v>208</v>
      </c>
    </row>
    <row r="36" spans="1:12" x14ac:dyDescent="0.3">
      <c r="A36" s="277" t="s">
        <v>213</v>
      </c>
      <c r="B36" s="278"/>
      <c r="C36" s="278"/>
      <c r="D36" s="278"/>
      <c r="E36" s="278"/>
      <c r="F36" s="278"/>
      <c r="G36" s="279"/>
    </row>
    <row r="37" spans="1:12" ht="15" thickBot="1" x14ac:dyDescent="0.35">
      <c r="A37" s="280" t="s">
        <v>209</v>
      </c>
      <c r="B37" s="281"/>
      <c r="C37" s="291" t="s">
        <v>211</v>
      </c>
      <c r="D37" s="292" t="s">
        <v>212</v>
      </c>
      <c r="E37" s="292"/>
      <c r="F37" s="292"/>
      <c r="G37" s="293"/>
    </row>
    <row r="38" spans="1:12" x14ac:dyDescent="0.3">
      <c r="A38" s="280" t="s">
        <v>210</v>
      </c>
      <c r="B38" s="281"/>
      <c r="C38" s="291"/>
      <c r="D38" s="292"/>
      <c r="E38" s="292"/>
      <c r="F38" s="292"/>
      <c r="G38" s="293"/>
      <c r="K38" s="270" t="s">
        <v>220</v>
      </c>
      <c r="L38" s="271"/>
    </row>
    <row r="39" spans="1:12" x14ac:dyDescent="0.3">
      <c r="A39" s="277" t="s">
        <v>214</v>
      </c>
      <c r="B39" s="278"/>
      <c r="C39" s="278"/>
      <c r="D39" s="278"/>
      <c r="E39" s="278"/>
      <c r="F39" s="278"/>
      <c r="G39" s="279"/>
      <c r="K39" s="272"/>
      <c r="L39" s="273"/>
    </row>
    <row r="40" spans="1:12" ht="18.600000000000001" thickBot="1" x14ac:dyDescent="0.35">
      <c r="A40" s="284" t="s">
        <v>215</v>
      </c>
      <c r="B40" s="282"/>
      <c r="C40" s="282"/>
      <c r="D40" s="282"/>
      <c r="E40" s="282"/>
      <c r="F40" s="282"/>
      <c r="G40" s="283"/>
      <c r="K40" s="132" t="s">
        <v>221</v>
      </c>
      <c r="L40" s="133" t="s">
        <v>222</v>
      </c>
    </row>
    <row r="41" spans="1:12" ht="15" thickBot="1" x14ac:dyDescent="0.35">
      <c r="A41" s="131" t="s">
        <v>216</v>
      </c>
      <c r="B41" s="43"/>
      <c r="C41" s="43"/>
      <c r="D41" s="43"/>
      <c r="E41" s="43"/>
      <c r="F41" s="43"/>
      <c r="G41" s="97"/>
      <c r="K41" s="258" t="s">
        <v>223</v>
      </c>
      <c r="L41" s="259"/>
    </row>
    <row r="42" spans="1:12" ht="15" thickBot="1" x14ac:dyDescent="0.35">
      <c r="A42" s="288" t="s">
        <v>217</v>
      </c>
      <c r="B42" s="289"/>
      <c r="C42" s="289"/>
      <c r="D42" s="289"/>
      <c r="E42" s="289"/>
      <c r="F42" s="289"/>
      <c r="G42" s="290"/>
    </row>
    <row r="43" spans="1:12" x14ac:dyDescent="0.3">
      <c r="K43" s="260">
        <f>3*K44*K44 - K44*L44 +3*L44</f>
        <v>7.75</v>
      </c>
      <c r="L43" s="260"/>
    </row>
    <row r="44" spans="1:12" x14ac:dyDescent="0.3">
      <c r="K44" s="134">
        <v>0.25</v>
      </c>
      <c r="L44" s="134">
        <v>2.75</v>
      </c>
    </row>
    <row r="46" spans="1:12" x14ac:dyDescent="0.3">
      <c r="A46" s="295"/>
      <c r="B46" s="295"/>
      <c r="C46" s="295"/>
      <c r="D46" s="295"/>
      <c r="E46" s="295"/>
      <c r="F46" s="295"/>
    </row>
    <row r="47" spans="1:12" x14ac:dyDescent="0.3">
      <c r="A47" s="7"/>
      <c r="B47" s="296"/>
      <c r="C47" s="296"/>
      <c r="D47" s="296"/>
      <c r="E47" s="296"/>
      <c r="F47" s="296"/>
    </row>
    <row r="48" spans="1:12" x14ac:dyDescent="0.3">
      <c r="A48" s="7"/>
      <c r="B48" s="263"/>
      <c r="C48" s="263"/>
      <c r="D48" s="263"/>
      <c r="E48" s="263"/>
      <c r="F48" s="263"/>
    </row>
    <row r="49" spans="1:7" x14ac:dyDescent="0.3">
      <c r="A49" s="7"/>
      <c r="B49" s="296"/>
      <c r="C49" s="296"/>
      <c r="D49" s="296"/>
      <c r="E49" s="296"/>
      <c r="F49" s="296"/>
    </row>
    <row r="50" spans="1:7" x14ac:dyDescent="0.3">
      <c r="A50" s="11"/>
      <c r="B50" s="11"/>
      <c r="C50" s="11"/>
      <c r="D50" s="11"/>
      <c r="E50" s="11"/>
      <c r="F50" s="11"/>
      <c r="G50" s="11"/>
    </row>
    <row r="51" spans="1:7" x14ac:dyDescent="0.3">
      <c r="A51" s="11"/>
      <c r="B51" s="11"/>
      <c r="C51" s="11"/>
      <c r="D51" s="11"/>
      <c r="E51" s="11"/>
      <c r="F51" s="11"/>
    </row>
    <row r="52" spans="1:7" x14ac:dyDescent="0.3">
      <c r="A52" s="294"/>
      <c r="B52" s="294"/>
      <c r="C52" s="294"/>
      <c r="D52" s="294"/>
      <c r="E52" s="294"/>
      <c r="F52" s="294"/>
    </row>
    <row r="53" spans="1:7" x14ac:dyDescent="0.3">
      <c r="A53" s="11"/>
      <c r="B53" s="11"/>
      <c r="C53" s="11"/>
      <c r="D53" s="11"/>
      <c r="E53" s="11"/>
      <c r="F53" s="11"/>
    </row>
    <row r="54" spans="1:7" x14ac:dyDescent="0.3">
      <c r="A54" s="11"/>
      <c r="B54" s="11"/>
      <c r="C54" s="11"/>
      <c r="D54" s="11"/>
      <c r="E54" s="11"/>
      <c r="F54" s="11"/>
    </row>
    <row r="55" spans="1:7" x14ac:dyDescent="0.3">
      <c r="A55" s="11"/>
      <c r="B55" s="11"/>
      <c r="C55" s="11"/>
      <c r="D55" s="11"/>
      <c r="E55" s="11"/>
      <c r="F55" s="11"/>
    </row>
  </sheetData>
  <mergeCells count="27">
    <mergeCell ref="A52:F52"/>
    <mergeCell ref="A46:F46"/>
    <mergeCell ref="B47:F47"/>
    <mergeCell ref="B48:F48"/>
    <mergeCell ref="B49:F49"/>
    <mergeCell ref="A42:G42"/>
    <mergeCell ref="A37:B37"/>
    <mergeCell ref="A38:B38"/>
    <mergeCell ref="C37:C38"/>
    <mergeCell ref="D37:G38"/>
    <mergeCell ref="A39:G39"/>
    <mergeCell ref="Q4:R4"/>
    <mergeCell ref="Q5:R5"/>
    <mergeCell ref="K41:L41"/>
    <mergeCell ref="K43:L43"/>
    <mergeCell ref="B27:D27"/>
    <mergeCell ref="B28:D28"/>
    <mergeCell ref="B29:D29"/>
    <mergeCell ref="A31:G31"/>
    <mergeCell ref="K38:L39"/>
    <mergeCell ref="A32:G32"/>
    <mergeCell ref="A34:G34"/>
    <mergeCell ref="A35:B35"/>
    <mergeCell ref="D35:G35"/>
    <mergeCell ref="A36:G36"/>
    <mergeCell ref="A40:G40"/>
    <mergeCell ref="A33:G3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6C929-FAC4-4E18-91B7-8E4D4570209B}">
  <dimension ref="A1:Y275"/>
  <sheetViews>
    <sheetView zoomScale="97" workbookViewId="0">
      <selection activeCell="A17" sqref="A17:I18"/>
    </sheetView>
  </sheetViews>
  <sheetFormatPr defaultRowHeight="14.4" x14ac:dyDescent="0.3"/>
  <cols>
    <col min="2" max="5" width="9.77734375" bestFit="1" customWidth="1"/>
  </cols>
  <sheetData>
    <row r="1" spans="1:25" ht="14.4" customHeight="1" x14ac:dyDescent="0.3">
      <c r="A1" s="298" t="s">
        <v>251</v>
      </c>
      <c r="B1" s="298"/>
      <c r="C1" s="298"/>
      <c r="D1" s="298"/>
      <c r="E1" s="298"/>
      <c r="F1" s="298"/>
      <c r="G1" s="298"/>
      <c r="H1" s="298"/>
      <c r="I1" s="298"/>
      <c r="Q1" s="300" t="s">
        <v>284</v>
      </c>
      <c r="R1" s="300"/>
      <c r="S1" s="300"/>
      <c r="T1" s="300"/>
      <c r="U1" s="300"/>
      <c r="V1" s="300"/>
      <c r="W1" s="300"/>
      <c r="X1" s="300"/>
      <c r="Y1" s="300"/>
    </row>
    <row r="2" spans="1:25" ht="14.4" customHeight="1" x14ac:dyDescent="0.3">
      <c r="A2" s="298"/>
      <c r="B2" s="298"/>
      <c r="C2" s="298"/>
      <c r="D2" s="298"/>
      <c r="E2" s="298"/>
      <c r="F2" s="298"/>
      <c r="G2" s="298"/>
      <c r="H2" s="298"/>
      <c r="I2" s="298"/>
      <c r="Q2" s="300"/>
      <c r="R2" s="300"/>
      <c r="S2" s="300"/>
      <c r="T2" s="300"/>
      <c r="U2" s="300"/>
      <c r="V2" s="300"/>
      <c r="W2" s="300"/>
      <c r="X2" s="300"/>
      <c r="Y2" s="300"/>
    </row>
    <row r="3" spans="1:25" x14ac:dyDescent="0.3">
      <c r="A3" s="177" t="s">
        <v>267</v>
      </c>
      <c r="B3" s="177"/>
      <c r="C3" s="177"/>
      <c r="D3" s="177" t="s">
        <v>268</v>
      </c>
      <c r="E3" s="177"/>
      <c r="F3" t="s">
        <v>269</v>
      </c>
    </row>
    <row r="4" spans="1:25" x14ac:dyDescent="0.3">
      <c r="A4" t="s">
        <v>234</v>
      </c>
      <c r="B4" t="s">
        <v>224</v>
      </c>
      <c r="C4" t="s">
        <v>226</v>
      </c>
      <c r="D4" t="s">
        <v>225</v>
      </c>
      <c r="E4" t="s">
        <v>232</v>
      </c>
      <c r="F4" s="137" t="s">
        <v>235</v>
      </c>
      <c r="G4" s="136"/>
      <c r="H4" s="136"/>
      <c r="I4" s="136"/>
      <c r="J4" s="136"/>
    </row>
    <row r="5" spans="1:25" ht="15" x14ac:dyDescent="0.3">
      <c r="A5" s="138" t="s">
        <v>227</v>
      </c>
      <c r="B5" s="138" t="s">
        <v>228</v>
      </c>
      <c r="C5" s="138" t="s">
        <v>229</v>
      </c>
      <c r="D5" s="138" t="s">
        <v>230</v>
      </c>
      <c r="E5" s="138" t="s">
        <v>231</v>
      </c>
      <c r="F5" s="139" t="s">
        <v>245</v>
      </c>
    </row>
    <row r="6" spans="1:25" x14ac:dyDescent="0.3">
      <c r="A6" s="138" t="s">
        <v>236</v>
      </c>
      <c r="B6" s="138" t="s">
        <v>237</v>
      </c>
      <c r="C6" s="138" t="s">
        <v>238</v>
      </c>
      <c r="D6" s="138" t="s">
        <v>239</v>
      </c>
      <c r="E6" s="138" t="s">
        <v>240</v>
      </c>
    </row>
    <row r="7" spans="1:25" x14ac:dyDescent="0.3">
      <c r="A7" s="152" t="s">
        <v>270</v>
      </c>
      <c r="B7" s="152"/>
      <c r="C7" s="152"/>
      <c r="D7" s="152"/>
      <c r="E7" s="152"/>
    </row>
    <row r="8" spans="1:25" x14ac:dyDescent="0.3">
      <c r="A8" s="142" t="s">
        <v>241</v>
      </c>
      <c r="B8" s="142"/>
      <c r="C8" s="140" t="s">
        <v>246</v>
      </c>
    </row>
    <row r="9" spans="1:25" x14ac:dyDescent="0.3">
      <c r="A9" s="142" t="s">
        <v>242</v>
      </c>
      <c r="B9" s="142"/>
      <c r="C9" s="140" t="s">
        <v>247</v>
      </c>
    </row>
    <row r="10" spans="1:25" x14ac:dyDescent="0.3">
      <c r="A10" s="142" t="s">
        <v>243</v>
      </c>
      <c r="B10" s="142"/>
      <c r="C10" s="140" t="s">
        <v>249</v>
      </c>
    </row>
    <row r="11" spans="1:25" x14ac:dyDescent="0.3">
      <c r="A11" s="142" t="s">
        <v>244</v>
      </c>
      <c r="B11" s="142"/>
      <c r="C11" s="140" t="s">
        <v>248</v>
      </c>
      <c r="H11" t="s">
        <v>233</v>
      </c>
    </row>
    <row r="13" spans="1:25" x14ac:dyDescent="0.3">
      <c r="A13" s="141" t="s">
        <v>250</v>
      </c>
      <c r="B13" s="141"/>
      <c r="C13" s="141"/>
      <c r="D13" s="141"/>
    </row>
    <row r="17" spans="1:14" x14ac:dyDescent="0.3">
      <c r="A17" s="298" t="s">
        <v>252</v>
      </c>
      <c r="B17" s="298"/>
      <c r="C17" s="298"/>
      <c r="D17" s="298"/>
      <c r="E17" s="298"/>
      <c r="F17" s="298"/>
      <c r="G17" s="298"/>
      <c r="H17" s="298"/>
      <c r="I17" s="298"/>
    </row>
    <row r="18" spans="1:14" x14ac:dyDescent="0.3">
      <c r="A18" s="298"/>
      <c r="B18" s="298"/>
      <c r="C18" s="298"/>
      <c r="D18" s="298"/>
      <c r="E18" s="298"/>
      <c r="F18" s="298"/>
      <c r="G18" s="298"/>
      <c r="H18" s="298"/>
      <c r="I18" s="298"/>
    </row>
    <row r="20" spans="1:14" x14ac:dyDescent="0.3">
      <c r="A20" s="143" t="s">
        <v>253</v>
      </c>
      <c r="B20" s="144"/>
      <c r="C20" s="144"/>
      <c r="D20" s="144"/>
      <c r="E20" s="144"/>
      <c r="F20" s="144"/>
    </row>
    <row r="21" spans="1:14" x14ac:dyDescent="0.3">
      <c r="A21" s="145" t="s">
        <v>254</v>
      </c>
      <c r="B21" s="144"/>
      <c r="C21" s="144"/>
      <c r="D21" s="144"/>
      <c r="E21" s="144"/>
      <c r="F21" s="144"/>
    </row>
    <row r="22" spans="1:14" x14ac:dyDescent="0.3">
      <c r="A22" s="145" t="s">
        <v>255</v>
      </c>
      <c r="B22" s="144"/>
      <c r="C22" s="144"/>
      <c r="D22" s="144"/>
      <c r="E22" s="144"/>
      <c r="F22" s="144"/>
    </row>
    <row r="23" spans="1:14" x14ac:dyDescent="0.3">
      <c r="A23" s="145" t="s">
        <v>256</v>
      </c>
      <c r="B23" s="144"/>
      <c r="C23" s="144"/>
      <c r="D23" s="144"/>
      <c r="E23" s="144"/>
      <c r="F23" s="144"/>
    </row>
    <row r="24" spans="1:14" x14ac:dyDescent="0.3">
      <c r="A24" s="145" t="s">
        <v>257</v>
      </c>
      <c r="B24" s="144"/>
      <c r="C24" s="144"/>
      <c r="D24" s="144"/>
      <c r="E24" s="144"/>
      <c r="F24" s="144"/>
    </row>
    <row r="27" spans="1:14" x14ac:dyDescent="0.3">
      <c r="A27" s="137" t="s">
        <v>258</v>
      </c>
      <c r="B27" s="137" t="s">
        <v>259</v>
      </c>
      <c r="C27" s="137" t="s">
        <v>260</v>
      </c>
      <c r="D27" s="137" t="s">
        <v>261</v>
      </c>
      <c r="E27" s="137" t="s">
        <v>262</v>
      </c>
      <c r="F27" s="137" t="s">
        <v>263</v>
      </c>
      <c r="G27" s="137" t="s">
        <v>117</v>
      </c>
      <c r="H27" s="137" t="s">
        <v>118</v>
      </c>
      <c r="I27" s="137" t="s">
        <v>119</v>
      </c>
      <c r="J27" s="137" t="s">
        <v>120</v>
      </c>
      <c r="K27" s="137" t="s">
        <v>264</v>
      </c>
      <c r="L27" s="137" t="s">
        <v>265</v>
      </c>
      <c r="M27" s="137" t="s">
        <v>266</v>
      </c>
      <c r="N27" s="137" t="s">
        <v>274</v>
      </c>
    </row>
    <row r="28" spans="1:14" x14ac:dyDescent="0.3">
      <c r="A28">
        <v>1</v>
      </c>
      <c r="B28" s="138">
        <f ca="1">RAND()</f>
        <v>0.6892162113870266</v>
      </c>
      <c r="C28" s="138">
        <f ca="1">RAND()</f>
        <v>0.526940283410258</v>
      </c>
      <c r="D28" s="138">
        <f t="shared" ref="D28:F43" ca="1" si="0">RAND()</f>
        <v>0.62424161823919755</v>
      </c>
      <c r="E28" s="138">
        <f ca="1">RAND()</f>
        <v>0.5982777206844343</v>
      </c>
      <c r="F28" s="138">
        <f ca="1">RAND()</f>
        <v>0.65271180712894972</v>
      </c>
      <c r="G28">
        <f>IF(A$5&gt;=A29,1,0)</f>
        <v>1</v>
      </c>
      <c r="H28">
        <f t="shared" ref="H28:K28" ca="1" si="1">IF(B$5&gt;=B29,1,0)</f>
        <v>1</v>
      </c>
      <c r="I28">
        <f t="shared" ca="1" si="1"/>
        <v>1</v>
      </c>
      <c r="J28">
        <f t="shared" ca="1" si="1"/>
        <v>1</v>
      </c>
      <c r="K28">
        <f t="shared" ca="1" si="1"/>
        <v>1</v>
      </c>
      <c r="L28">
        <f ca="1">--OR(G28, H28, I28)</f>
        <v>1</v>
      </c>
      <c r="M28">
        <f ca="1">--OR(J28,K28)</f>
        <v>1</v>
      </c>
      <c r="N28">
        <f ca="1">--AND(L28,M28)</f>
        <v>1</v>
      </c>
    </row>
    <row r="29" spans="1:14" x14ac:dyDescent="0.3">
      <c r="A29">
        <v>2</v>
      </c>
      <c r="B29" s="138">
        <f t="shared" ref="B29:F60" ca="1" si="2">RAND()</f>
        <v>5.3274713511581528E-2</v>
      </c>
      <c r="C29" s="138">
        <f t="shared" ca="1" si="2"/>
        <v>0.21687888866716054</v>
      </c>
      <c r="D29" s="138">
        <f t="shared" ca="1" si="0"/>
        <v>0.76341527848771207</v>
      </c>
      <c r="E29" s="138">
        <f t="shared" ca="1" si="0"/>
        <v>1.1869569543042413E-2</v>
      </c>
      <c r="F29" s="138">
        <f t="shared" ca="1" si="0"/>
        <v>0.70905141785391057</v>
      </c>
      <c r="G29">
        <f t="shared" ref="G29:G92" si="3">IF(A$5&gt;=A30,1,0)</f>
        <v>1</v>
      </c>
      <c r="H29">
        <f t="shared" ref="H29:H92" ca="1" si="4">IF(B$5&gt;=B30,1,0)</f>
        <v>1</v>
      </c>
      <c r="I29">
        <f t="shared" ref="I29:I92" ca="1" si="5">IF(C$5&gt;=C30,1,0)</f>
        <v>1</v>
      </c>
      <c r="J29">
        <f t="shared" ref="J29:J92" ca="1" si="6">IF(D$5&gt;=D30,1,0)</f>
        <v>1</v>
      </c>
      <c r="K29">
        <f t="shared" ref="K29:K92" ca="1" si="7">IF(E$5&gt;=E30,1,0)</f>
        <v>1</v>
      </c>
      <c r="L29">
        <f t="shared" ref="L29:L92" ca="1" si="8">--OR(G29, H29, I29)</f>
        <v>1</v>
      </c>
      <c r="M29">
        <f t="shared" ref="M29:M92" ca="1" si="9">--OR(J29,K29)</f>
        <v>1</v>
      </c>
      <c r="N29">
        <f t="shared" ref="N29:N92" ca="1" si="10">--AND(L29,M29)</f>
        <v>1</v>
      </c>
    </row>
    <row r="30" spans="1:14" x14ac:dyDescent="0.3">
      <c r="A30">
        <v>3</v>
      </c>
      <c r="B30" s="138">
        <f t="shared" ca="1" si="2"/>
        <v>0.77533808344758315</v>
      </c>
      <c r="C30" s="138">
        <f t="shared" ca="1" si="2"/>
        <v>0.47890912296193344</v>
      </c>
      <c r="D30" s="138">
        <f t="shared" ca="1" si="0"/>
        <v>0.65852495754515472</v>
      </c>
      <c r="E30" s="138">
        <f t="shared" ca="1" si="0"/>
        <v>0.71708858955000865</v>
      </c>
      <c r="F30" s="138">
        <f t="shared" ca="1" si="0"/>
        <v>0.27823176218370615</v>
      </c>
      <c r="G30">
        <f t="shared" si="3"/>
        <v>1</v>
      </c>
      <c r="H30">
        <f t="shared" ca="1" si="4"/>
        <v>1</v>
      </c>
      <c r="I30">
        <f t="shared" ca="1" si="5"/>
        <v>1</v>
      </c>
      <c r="J30">
        <f t="shared" ca="1" si="6"/>
        <v>1</v>
      </c>
      <c r="K30">
        <f t="shared" ca="1" si="7"/>
        <v>1</v>
      </c>
      <c r="L30">
        <f t="shared" ca="1" si="8"/>
        <v>1</v>
      </c>
      <c r="M30">
        <f t="shared" ca="1" si="9"/>
        <v>1</v>
      </c>
      <c r="N30">
        <f t="shared" ca="1" si="10"/>
        <v>1</v>
      </c>
    </row>
    <row r="31" spans="1:14" x14ac:dyDescent="0.3">
      <c r="A31">
        <v>4</v>
      </c>
      <c r="B31" s="138">
        <f t="shared" ca="1" si="2"/>
        <v>0.97795288558320803</v>
      </c>
      <c r="C31" s="138">
        <f t="shared" ca="1" si="2"/>
        <v>0.36948406494125163</v>
      </c>
      <c r="D31" s="138">
        <f t="shared" ca="1" si="0"/>
        <v>0.75148701584418354</v>
      </c>
      <c r="E31" s="138">
        <f t="shared" ca="1" si="0"/>
        <v>0.71829041479571487</v>
      </c>
      <c r="F31" s="138">
        <f t="shared" ca="1" si="0"/>
        <v>0.93074118597164646</v>
      </c>
      <c r="G31">
        <f t="shared" si="3"/>
        <v>1</v>
      </c>
      <c r="H31">
        <f t="shared" ca="1" si="4"/>
        <v>1</v>
      </c>
      <c r="I31">
        <f t="shared" ca="1" si="5"/>
        <v>1</v>
      </c>
      <c r="J31">
        <f ca="1">IF(D$5&gt;=D32,1,0)</f>
        <v>1</v>
      </c>
      <c r="K31">
        <f t="shared" ca="1" si="7"/>
        <v>1</v>
      </c>
      <c r="L31">
        <f t="shared" ca="1" si="8"/>
        <v>1</v>
      </c>
      <c r="M31">
        <f t="shared" ca="1" si="9"/>
        <v>1</v>
      </c>
      <c r="N31">
        <f t="shared" ca="1" si="10"/>
        <v>1</v>
      </c>
    </row>
    <row r="32" spans="1:14" x14ac:dyDescent="0.3">
      <c r="A32">
        <v>5</v>
      </c>
      <c r="B32" s="138">
        <f t="shared" ca="1" si="2"/>
        <v>0.41254370818819475</v>
      </c>
      <c r="C32" s="138">
        <f t="shared" ca="1" si="2"/>
        <v>0.48905682039292186</v>
      </c>
      <c r="D32" s="138">
        <f t="shared" ca="1" si="0"/>
        <v>0.56240056275999994</v>
      </c>
      <c r="E32" s="138">
        <f t="shared" ca="1" si="0"/>
        <v>0.4523324259041247</v>
      </c>
      <c r="F32" s="138">
        <f t="shared" ca="1" si="0"/>
        <v>0.29932281926363991</v>
      </c>
      <c r="G32">
        <f t="shared" si="3"/>
        <v>1</v>
      </c>
      <c r="H32">
        <f t="shared" ca="1" si="4"/>
        <v>1</v>
      </c>
      <c r="I32">
        <f t="shared" ca="1" si="5"/>
        <v>1</v>
      </c>
      <c r="J32">
        <f t="shared" ca="1" si="6"/>
        <v>1</v>
      </c>
      <c r="K32">
        <f t="shared" ca="1" si="7"/>
        <v>1</v>
      </c>
      <c r="L32">
        <f t="shared" ca="1" si="8"/>
        <v>1</v>
      </c>
      <c r="M32">
        <f t="shared" ca="1" si="9"/>
        <v>1</v>
      </c>
      <c r="N32">
        <f t="shared" ca="1" si="10"/>
        <v>1</v>
      </c>
    </row>
    <row r="33" spans="1:14" x14ac:dyDescent="0.3">
      <c r="A33">
        <v>6</v>
      </c>
      <c r="B33" s="138">
        <f t="shared" ca="1" si="2"/>
        <v>0.60871377151273898</v>
      </c>
      <c r="C33" s="138">
        <f t="shared" ca="1" si="2"/>
        <v>0.13442396619614538</v>
      </c>
      <c r="D33" s="138">
        <f t="shared" ca="1" si="0"/>
        <v>0.24768799278497688</v>
      </c>
      <c r="E33" s="138">
        <f t="shared" ca="1" si="0"/>
        <v>0.41355281196313243</v>
      </c>
      <c r="F33" s="138">
        <f t="shared" ca="1" si="0"/>
        <v>0.23486847430330815</v>
      </c>
      <c r="G33">
        <f t="shared" si="3"/>
        <v>1</v>
      </c>
      <c r="H33">
        <f t="shared" ca="1" si="4"/>
        <v>1</v>
      </c>
      <c r="I33">
        <f t="shared" ca="1" si="5"/>
        <v>1</v>
      </c>
      <c r="J33">
        <f t="shared" ca="1" si="6"/>
        <v>1</v>
      </c>
      <c r="K33">
        <f t="shared" ca="1" si="7"/>
        <v>1</v>
      </c>
      <c r="L33">
        <f t="shared" ca="1" si="8"/>
        <v>1</v>
      </c>
      <c r="M33">
        <f t="shared" ca="1" si="9"/>
        <v>1</v>
      </c>
      <c r="N33">
        <f t="shared" ca="1" si="10"/>
        <v>1</v>
      </c>
    </row>
    <row r="34" spans="1:14" x14ac:dyDescent="0.3">
      <c r="A34">
        <v>7</v>
      </c>
      <c r="B34" s="138">
        <f t="shared" ca="1" si="2"/>
        <v>0.79736733501896251</v>
      </c>
      <c r="C34" s="138">
        <f t="shared" ca="1" si="2"/>
        <v>0.51722397617394644</v>
      </c>
      <c r="D34" s="138">
        <f t="shared" ca="1" si="0"/>
        <v>0.56499744658543816</v>
      </c>
      <c r="E34" s="138">
        <f t="shared" ca="1" si="0"/>
        <v>0.33011574650513587</v>
      </c>
      <c r="F34" s="138">
        <f t="shared" ca="1" si="0"/>
        <v>0.47478319268634372</v>
      </c>
      <c r="G34">
        <f t="shared" si="3"/>
        <v>1</v>
      </c>
      <c r="H34">
        <f t="shared" ca="1" si="4"/>
        <v>1</v>
      </c>
      <c r="I34">
        <f ca="1">IF(C$5&gt;=C35,1,0)</f>
        <v>1</v>
      </c>
      <c r="J34">
        <f t="shared" ca="1" si="6"/>
        <v>1</v>
      </c>
      <c r="K34">
        <f t="shared" ca="1" si="7"/>
        <v>1</v>
      </c>
      <c r="L34">
        <f t="shared" ca="1" si="8"/>
        <v>1</v>
      </c>
      <c r="M34">
        <f t="shared" ca="1" si="9"/>
        <v>1</v>
      </c>
      <c r="N34">
        <f t="shared" ca="1" si="10"/>
        <v>1</v>
      </c>
    </row>
    <row r="35" spans="1:14" x14ac:dyDescent="0.3">
      <c r="A35">
        <v>8</v>
      </c>
      <c r="B35" s="138">
        <f t="shared" ca="1" si="2"/>
        <v>0.28499090241850522</v>
      </c>
      <c r="C35" s="138">
        <f t="shared" ca="1" si="2"/>
        <v>6.1613994359602131E-2</v>
      </c>
      <c r="D35" s="138">
        <f t="shared" ca="1" si="0"/>
        <v>0.22889849822600494</v>
      </c>
      <c r="E35" s="138">
        <f t="shared" ca="1" si="0"/>
        <v>0.43422813616787659</v>
      </c>
      <c r="F35" s="138">
        <f t="shared" ca="1" si="0"/>
        <v>0.84851323315062865</v>
      </c>
      <c r="G35">
        <f t="shared" si="3"/>
        <v>1</v>
      </c>
      <c r="H35">
        <f t="shared" ca="1" si="4"/>
        <v>1</v>
      </c>
      <c r="I35">
        <f t="shared" ca="1" si="5"/>
        <v>1</v>
      </c>
      <c r="J35">
        <f t="shared" ca="1" si="6"/>
        <v>1</v>
      </c>
      <c r="K35">
        <f t="shared" ca="1" si="7"/>
        <v>1</v>
      </c>
      <c r="L35">
        <f t="shared" ca="1" si="8"/>
        <v>1</v>
      </c>
      <c r="M35">
        <f t="shared" ca="1" si="9"/>
        <v>1</v>
      </c>
      <c r="N35">
        <f t="shared" ca="1" si="10"/>
        <v>1</v>
      </c>
    </row>
    <row r="36" spans="1:14" x14ac:dyDescent="0.3">
      <c r="A36">
        <v>9</v>
      </c>
      <c r="B36" s="138">
        <f t="shared" ca="1" si="2"/>
        <v>0.11825716590843605</v>
      </c>
      <c r="C36" s="138">
        <f t="shared" ca="1" si="2"/>
        <v>0.76723766932664161</v>
      </c>
      <c r="D36" s="138">
        <f t="shared" ca="1" si="0"/>
        <v>0.50414453376103374</v>
      </c>
      <c r="E36" s="138">
        <f t="shared" ca="1" si="0"/>
        <v>0.82246781125260116</v>
      </c>
      <c r="F36" s="138">
        <f t="shared" ca="1" si="0"/>
        <v>0.97655418068117628</v>
      </c>
      <c r="G36">
        <f t="shared" si="3"/>
        <v>1</v>
      </c>
      <c r="H36">
        <f t="shared" ca="1" si="4"/>
        <v>1</v>
      </c>
      <c r="I36">
        <f t="shared" ca="1" si="5"/>
        <v>1</v>
      </c>
      <c r="J36">
        <f t="shared" ca="1" si="6"/>
        <v>1</v>
      </c>
      <c r="K36">
        <f t="shared" ca="1" si="7"/>
        <v>1</v>
      </c>
      <c r="L36">
        <f t="shared" ca="1" si="8"/>
        <v>1</v>
      </c>
      <c r="M36">
        <f t="shared" ca="1" si="9"/>
        <v>1</v>
      </c>
      <c r="N36">
        <f t="shared" ca="1" si="10"/>
        <v>1</v>
      </c>
    </row>
    <row r="37" spans="1:14" x14ac:dyDescent="0.3">
      <c r="A37">
        <v>10</v>
      </c>
      <c r="B37" s="138">
        <f t="shared" ca="1" si="2"/>
        <v>0.43543654367818618</v>
      </c>
      <c r="C37" s="138">
        <f t="shared" ca="1" si="2"/>
        <v>6.45100786326952E-2</v>
      </c>
      <c r="D37" s="138">
        <f t="shared" ca="1" si="0"/>
        <v>0.86582362782382638</v>
      </c>
      <c r="E37" s="138">
        <f t="shared" ca="1" si="0"/>
        <v>5.7490044638341953E-3</v>
      </c>
      <c r="F37" s="138">
        <f t="shared" ca="1" si="0"/>
        <v>0.86186161449140897</v>
      </c>
      <c r="G37">
        <f t="shared" si="3"/>
        <v>1</v>
      </c>
      <c r="H37">
        <f t="shared" ca="1" si="4"/>
        <v>1</v>
      </c>
      <c r="I37">
        <f t="shared" ca="1" si="5"/>
        <v>1</v>
      </c>
      <c r="J37">
        <f t="shared" ca="1" si="6"/>
        <v>1</v>
      </c>
      <c r="K37">
        <f t="shared" ca="1" si="7"/>
        <v>1</v>
      </c>
      <c r="L37">
        <f t="shared" ca="1" si="8"/>
        <v>1</v>
      </c>
      <c r="M37">
        <f t="shared" ca="1" si="9"/>
        <v>1</v>
      </c>
      <c r="N37">
        <f t="shared" ca="1" si="10"/>
        <v>1</v>
      </c>
    </row>
    <row r="38" spans="1:14" x14ac:dyDescent="0.3">
      <c r="A38">
        <v>11</v>
      </c>
      <c r="B38" s="138">
        <f t="shared" ca="1" si="2"/>
        <v>0.67747836804437789</v>
      </c>
      <c r="C38" s="138">
        <f t="shared" ca="1" si="2"/>
        <v>0.67997103419521387</v>
      </c>
      <c r="D38" s="138">
        <f t="shared" ca="1" si="0"/>
        <v>0.20064764314182693</v>
      </c>
      <c r="E38" s="138">
        <f t="shared" ca="1" si="0"/>
        <v>0.38836578292012358</v>
      </c>
      <c r="F38" s="138">
        <f t="shared" ca="1" si="0"/>
        <v>0.72578475625881411</v>
      </c>
      <c r="G38">
        <f t="shared" si="3"/>
        <v>1</v>
      </c>
      <c r="H38">
        <f t="shared" ca="1" si="4"/>
        <v>1</v>
      </c>
      <c r="I38">
        <f t="shared" ca="1" si="5"/>
        <v>1</v>
      </c>
      <c r="J38">
        <f t="shared" ca="1" si="6"/>
        <v>1</v>
      </c>
      <c r="K38">
        <f t="shared" ca="1" si="7"/>
        <v>1</v>
      </c>
      <c r="L38">
        <f t="shared" ca="1" si="8"/>
        <v>1</v>
      </c>
      <c r="M38">
        <f t="shared" ca="1" si="9"/>
        <v>1</v>
      </c>
      <c r="N38">
        <f t="shared" ca="1" si="10"/>
        <v>1</v>
      </c>
    </row>
    <row r="39" spans="1:14" x14ac:dyDescent="0.3">
      <c r="A39">
        <v>12</v>
      </c>
      <c r="B39" s="138">
        <f t="shared" ca="1" si="2"/>
        <v>0.28198254439729908</v>
      </c>
      <c r="C39" s="138">
        <f t="shared" ca="1" si="2"/>
        <v>0.38565051391275096</v>
      </c>
      <c r="D39" s="138">
        <f t="shared" ca="1" si="0"/>
        <v>0.55407576642410228</v>
      </c>
      <c r="E39" s="138">
        <f t="shared" ca="1" si="0"/>
        <v>0.32946447082208064</v>
      </c>
      <c r="F39" s="138">
        <f t="shared" ca="1" si="0"/>
        <v>8.9329120230284942E-2</v>
      </c>
      <c r="G39">
        <f t="shared" si="3"/>
        <v>1</v>
      </c>
      <c r="H39">
        <f t="shared" ca="1" si="4"/>
        <v>1</v>
      </c>
      <c r="I39">
        <f t="shared" ca="1" si="5"/>
        <v>1</v>
      </c>
      <c r="J39">
        <f t="shared" ca="1" si="6"/>
        <v>1</v>
      </c>
      <c r="K39">
        <f t="shared" ca="1" si="7"/>
        <v>1</v>
      </c>
      <c r="L39">
        <f t="shared" ca="1" si="8"/>
        <v>1</v>
      </c>
      <c r="M39">
        <f t="shared" ca="1" si="9"/>
        <v>1</v>
      </c>
      <c r="N39">
        <f t="shared" ca="1" si="10"/>
        <v>1</v>
      </c>
    </row>
    <row r="40" spans="1:14" x14ac:dyDescent="0.3">
      <c r="A40">
        <v>13</v>
      </c>
      <c r="B40" s="138">
        <f t="shared" ca="1" si="2"/>
        <v>0.24863758677199976</v>
      </c>
      <c r="C40" s="138">
        <f t="shared" ca="1" si="2"/>
        <v>0.32910685751131086</v>
      </c>
      <c r="D40" s="138">
        <f t="shared" ca="1" si="0"/>
        <v>0.60610467057694539</v>
      </c>
      <c r="E40" s="138">
        <f t="shared" ca="1" si="0"/>
        <v>0.37500230351428698</v>
      </c>
      <c r="F40" s="138">
        <f t="shared" ca="1" si="0"/>
        <v>0.13724123399570309</v>
      </c>
      <c r="G40">
        <f t="shared" si="3"/>
        <v>1</v>
      </c>
      <c r="H40">
        <f t="shared" ca="1" si="4"/>
        <v>1</v>
      </c>
      <c r="I40">
        <f t="shared" ca="1" si="5"/>
        <v>1</v>
      </c>
      <c r="J40">
        <f t="shared" ca="1" si="6"/>
        <v>1</v>
      </c>
      <c r="K40">
        <f t="shared" ca="1" si="7"/>
        <v>1</v>
      </c>
      <c r="L40">
        <f t="shared" ca="1" si="8"/>
        <v>1</v>
      </c>
      <c r="M40">
        <f t="shared" ca="1" si="9"/>
        <v>1</v>
      </c>
      <c r="N40">
        <f t="shared" ca="1" si="10"/>
        <v>1</v>
      </c>
    </row>
    <row r="41" spans="1:14" x14ac:dyDescent="0.3">
      <c r="A41">
        <v>14</v>
      </c>
      <c r="B41" s="138">
        <f t="shared" ca="1" si="2"/>
        <v>0.14473572038654237</v>
      </c>
      <c r="C41" s="138">
        <f t="shared" ca="1" si="2"/>
        <v>0.42372328718844054</v>
      </c>
      <c r="D41" s="138">
        <f t="shared" ca="1" si="0"/>
        <v>0.92997446246917381</v>
      </c>
      <c r="E41" s="138">
        <f t="shared" ca="1" si="0"/>
        <v>0.96033464046907202</v>
      </c>
      <c r="F41" s="138">
        <f t="shared" ca="1" si="0"/>
        <v>0.53888339973961052</v>
      </c>
      <c r="G41">
        <f t="shared" si="3"/>
        <v>1</v>
      </c>
      <c r="H41">
        <f t="shared" ca="1" si="4"/>
        <v>1</v>
      </c>
      <c r="I41">
        <f t="shared" ca="1" si="5"/>
        <v>1</v>
      </c>
      <c r="J41">
        <f t="shared" ca="1" si="6"/>
        <v>1</v>
      </c>
      <c r="K41">
        <f t="shared" ca="1" si="7"/>
        <v>1</v>
      </c>
      <c r="L41">
        <f t="shared" ca="1" si="8"/>
        <v>1</v>
      </c>
      <c r="M41">
        <f t="shared" ca="1" si="9"/>
        <v>1</v>
      </c>
      <c r="N41">
        <f t="shared" ca="1" si="10"/>
        <v>1</v>
      </c>
    </row>
    <row r="42" spans="1:14" x14ac:dyDescent="0.3">
      <c r="A42">
        <v>15</v>
      </c>
      <c r="B42" s="138">
        <f t="shared" ca="1" si="2"/>
        <v>0.23094889019946208</v>
      </c>
      <c r="C42" s="138">
        <f t="shared" ca="1" si="2"/>
        <v>0.41616448655951532</v>
      </c>
      <c r="D42" s="138">
        <f t="shared" ca="1" si="0"/>
        <v>8.4899843048645618E-2</v>
      </c>
      <c r="E42" s="138">
        <f t="shared" ca="1" si="0"/>
        <v>8.7520450751928269E-2</v>
      </c>
      <c r="F42" s="138">
        <f t="shared" ca="1" si="0"/>
        <v>0.23341566470447783</v>
      </c>
      <c r="G42">
        <f t="shared" si="3"/>
        <v>1</v>
      </c>
      <c r="H42">
        <f t="shared" ca="1" si="4"/>
        <v>1</v>
      </c>
      <c r="I42">
        <f t="shared" ca="1" si="5"/>
        <v>1</v>
      </c>
      <c r="J42">
        <f t="shared" ca="1" si="6"/>
        <v>1</v>
      </c>
      <c r="K42">
        <f t="shared" ca="1" si="7"/>
        <v>1</v>
      </c>
      <c r="L42">
        <f t="shared" ca="1" si="8"/>
        <v>1</v>
      </c>
      <c r="M42">
        <f t="shared" ca="1" si="9"/>
        <v>1</v>
      </c>
      <c r="N42">
        <f t="shared" ca="1" si="10"/>
        <v>1</v>
      </c>
    </row>
    <row r="43" spans="1:14" x14ac:dyDescent="0.3">
      <c r="A43">
        <v>16</v>
      </c>
      <c r="B43" s="138">
        <f t="shared" ca="1" si="2"/>
        <v>0.23758190119376499</v>
      </c>
      <c r="C43" s="138">
        <f t="shared" ca="1" si="2"/>
        <v>0.67838055401328456</v>
      </c>
      <c r="D43" s="138">
        <f t="shared" ca="1" si="0"/>
        <v>0.33386816621655135</v>
      </c>
      <c r="E43" s="138">
        <f t="shared" ca="1" si="0"/>
        <v>0.15653379479824681</v>
      </c>
      <c r="F43" s="138">
        <f t="shared" ca="1" si="0"/>
        <v>0.44026482077990892</v>
      </c>
      <c r="G43">
        <f t="shared" si="3"/>
        <v>1</v>
      </c>
      <c r="H43">
        <f t="shared" ca="1" si="4"/>
        <v>1</v>
      </c>
      <c r="I43">
        <f t="shared" ca="1" si="5"/>
        <v>1</v>
      </c>
      <c r="J43">
        <f t="shared" ca="1" si="6"/>
        <v>1</v>
      </c>
      <c r="K43">
        <f t="shared" ca="1" si="7"/>
        <v>1</v>
      </c>
      <c r="L43">
        <f t="shared" ca="1" si="8"/>
        <v>1</v>
      </c>
      <c r="M43">
        <f t="shared" ca="1" si="9"/>
        <v>1</v>
      </c>
      <c r="N43">
        <f t="shared" ca="1" si="10"/>
        <v>1</v>
      </c>
    </row>
    <row r="44" spans="1:14" x14ac:dyDescent="0.3">
      <c r="A44">
        <v>17</v>
      </c>
      <c r="B44" s="138">
        <f t="shared" ca="1" si="2"/>
        <v>0.77026645090956347</v>
      </c>
      <c r="C44" s="138">
        <f t="shared" ca="1" si="2"/>
        <v>0.81484079187440761</v>
      </c>
      <c r="D44" s="138">
        <f t="shared" ca="1" si="2"/>
        <v>0.61470082119506919</v>
      </c>
      <c r="E44" s="138">
        <f t="shared" ca="1" si="2"/>
        <v>0.67748874274142146</v>
      </c>
      <c r="F44" s="138">
        <f t="shared" ca="1" si="2"/>
        <v>0.20973690466007722</v>
      </c>
      <c r="G44">
        <f t="shared" si="3"/>
        <v>1</v>
      </c>
      <c r="H44">
        <f t="shared" ca="1" si="4"/>
        <v>1</v>
      </c>
      <c r="I44">
        <f t="shared" ca="1" si="5"/>
        <v>1</v>
      </c>
      <c r="J44">
        <f t="shared" ca="1" si="6"/>
        <v>1</v>
      </c>
      <c r="K44">
        <f t="shared" ca="1" si="7"/>
        <v>1</v>
      </c>
      <c r="L44">
        <f t="shared" ca="1" si="8"/>
        <v>1</v>
      </c>
      <c r="M44">
        <f t="shared" ca="1" si="9"/>
        <v>1</v>
      </c>
      <c r="N44">
        <f t="shared" ca="1" si="10"/>
        <v>1</v>
      </c>
    </row>
    <row r="45" spans="1:14" x14ac:dyDescent="0.3">
      <c r="A45">
        <v>18</v>
      </c>
      <c r="B45" s="138">
        <f t="shared" ca="1" si="2"/>
        <v>0.3497783444772854</v>
      </c>
      <c r="C45" s="138">
        <f t="shared" ca="1" si="2"/>
        <v>0.28158317838041669</v>
      </c>
      <c r="D45" s="138">
        <f t="shared" ca="1" si="2"/>
        <v>4.1836298326254573E-2</v>
      </c>
      <c r="E45" s="138">
        <f t="shared" ca="1" si="2"/>
        <v>0.26728620306757367</v>
      </c>
      <c r="F45" s="138">
        <f t="shared" ca="1" si="2"/>
        <v>5.9645582110634976E-2</v>
      </c>
      <c r="G45">
        <f t="shared" si="3"/>
        <v>1</v>
      </c>
      <c r="H45">
        <f t="shared" ca="1" si="4"/>
        <v>1</v>
      </c>
      <c r="I45">
        <f t="shared" ca="1" si="5"/>
        <v>1</v>
      </c>
      <c r="J45">
        <f t="shared" ca="1" si="6"/>
        <v>1</v>
      </c>
      <c r="K45">
        <f t="shared" ca="1" si="7"/>
        <v>1</v>
      </c>
      <c r="L45">
        <f t="shared" ca="1" si="8"/>
        <v>1</v>
      </c>
      <c r="M45">
        <f t="shared" ca="1" si="9"/>
        <v>1</v>
      </c>
      <c r="N45">
        <f t="shared" ca="1" si="10"/>
        <v>1</v>
      </c>
    </row>
    <row r="46" spans="1:14" x14ac:dyDescent="0.3">
      <c r="A46">
        <v>19</v>
      </c>
      <c r="B46" s="138">
        <f t="shared" ca="1" si="2"/>
        <v>0.9707371117029534</v>
      </c>
      <c r="C46" s="138">
        <f t="shared" ca="1" si="2"/>
        <v>0.75690011039472316</v>
      </c>
      <c r="D46" s="138">
        <f t="shared" ca="1" si="2"/>
        <v>0.9855366635592725</v>
      </c>
      <c r="E46" s="138">
        <f t="shared" ca="1" si="2"/>
        <v>0.12321837198480079</v>
      </c>
      <c r="F46" s="138">
        <f t="shared" ca="1" si="2"/>
        <v>0.90129632270689475</v>
      </c>
      <c r="G46">
        <f t="shared" si="3"/>
        <v>1</v>
      </c>
      <c r="H46">
        <f t="shared" ca="1" si="4"/>
        <v>1</v>
      </c>
      <c r="I46">
        <f t="shared" ca="1" si="5"/>
        <v>1</v>
      </c>
      <c r="J46">
        <f t="shared" ca="1" si="6"/>
        <v>1</v>
      </c>
      <c r="K46">
        <f t="shared" ca="1" si="7"/>
        <v>1</v>
      </c>
      <c r="L46">
        <f t="shared" ca="1" si="8"/>
        <v>1</v>
      </c>
      <c r="M46">
        <f t="shared" ca="1" si="9"/>
        <v>1</v>
      </c>
      <c r="N46">
        <f t="shared" ca="1" si="10"/>
        <v>1</v>
      </c>
    </row>
    <row r="47" spans="1:14" x14ac:dyDescent="0.3">
      <c r="A47">
        <v>20</v>
      </c>
      <c r="B47" s="138">
        <f t="shared" ca="1" si="2"/>
        <v>0.46133033912974097</v>
      </c>
      <c r="C47" s="138">
        <f t="shared" ca="1" si="2"/>
        <v>0.21990304630043955</v>
      </c>
      <c r="D47" s="138">
        <f t="shared" ca="1" si="2"/>
        <v>0.1179642274375704</v>
      </c>
      <c r="E47" s="138">
        <f t="shared" ca="1" si="2"/>
        <v>0.44856073131689866</v>
      </c>
      <c r="F47" s="138">
        <f t="shared" ca="1" si="2"/>
        <v>0.50993323266485369</v>
      </c>
      <c r="G47">
        <f t="shared" si="3"/>
        <v>1</v>
      </c>
      <c r="H47">
        <f t="shared" ca="1" si="4"/>
        <v>1</v>
      </c>
      <c r="I47">
        <f t="shared" ca="1" si="5"/>
        <v>1</v>
      </c>
      <c r="J47">
        <f t="shared" ca="1" si="6"/>
        <v>1</v>
      </c>
      <c r="K47">
        <f t="shared" ca="1" si="7"/>
        <v>1</v>
      </c>
      <c r="L47">
        <f t="shared" ca="1" si="8"/>
        <v>1</v>
      </c>
      <c r="M47">
        <f t="shared" ca="1" si="9"/>
        <v>1</v>
      </c>
      <c r="N47">
        <f t="shared" ca="1" si="10"/>
        <v>1</v>
      </c>
    </row>
    <row r="48" spans="1:14" x14ac:dyDescent="0.3">
      <c r="A48">
        <v>21</v>
      </c>
      <c r="B48" s="138">
        <f t="shared" ca="1" si="2"/>
        <v>0.92654642728141245</v>
      </c>
      <c r="C48" s="138">
        <f t="shared" ca="1" si="2"/>
        <v>0.81963973472572904</v>
      </c>
      <c r="D48" s="138">
        <f t="shared" ca="1" si="2"/>
        <v>0.93811021877666445</v>
      </c>
      <c r="E48" s="138">
        <f t="shared" ca="1" si="2"/>
        <v>0.84126510364852058</v>
      </c>
      <c r="F48" s="138">
        <f t="shared" ca="1" si="2"/>
        <v>0.21318341808454389</v>
      </c>
      <c r="G48">
        <f t="shared" si="3"/>
        <v>1</v>
      </c>
      <c r="H48">
        <f t="shared" ca="1" si="4"/>
        <v>1</v>
      </c>
      <c r="I48">
        <f t="shared" ca="1" si="5"/>
        <v>1</v>
      </c>
      <c r="J48">
        <f t="shared" ca="1" si="6"/>
        <v>1</v>
      </c>
      <c r="K48">
        <f t="shared" ca="1" si="7"/>
        <v>1</v>
      </c>
      <c r="L48">
        <f t="shared" ca="1" si="8"/>
        <v>1</v>
      </c>
      <c r="M48">
        <f t="shared" ca="1" si="9"/>
        <v>1</v>
      </c>
      <c r="N48">
        <f t="shared" ca="1" si="10"/>
        <v>1</v>
      </c>
    </row>
    <row r="49" spans="1:14" x14ac:dyDescent="0.3">
      <c r="A49">
        <v>22</v>
      </c>
      <c r="B49" s="138">
        <f t="shared" ca="1" si="2"/>
        <v>0.46942892774385059</v>
      </c>
      <c r="C49" s="138">
        <f t="shared" ca="1" si="2"/>
        <v>0.59587695024523213</v>
      </c>
      <c r="D49" s="138">
        <f t="shared" ca="1" si="2"/>
        <v>0.71249023836140846</v>
      </c>
      <c r="E49" s="138">
        <f t="shared" ca="1" si="2"/>
        <v>0.97384155213013535</v>
      </c>
      <c r="F49" s="138">
        <f t="shared" ca="1" si="2"/>
        <v>5.4591346000187557E-2</v>
      </c>
      <c r="G49">
        <f t="shared" si="3"/>
        <v>1</v>
      </c>
      <c r="H49">
        <f t="shared" ca="1" si="4"/>
        <v>1</v>
      </c>
      <c r="I49">
        <f t="shared" ca="1" si="5"/>
        <v>1</v>
      </c>
      <c r="J49">
        <f t="shared" ca="1" si="6"/>
        <v>1</v>
      </c>
      <c r="K49">
        <f t="shared" ca="1" si="7"/>
        <v>1</v>
      </c>
      <c r="L49">
        <f t="shared" ca="1" si="8"/>
        <v>1</v>
      </c>
      <c r="M49">
        <f t="shared" ca="1" si="9"/>
        <v>1</v>
      </c>
      <c r="N49">
        <f t="shared" ca="1" si="10"/>
        <v>1</v>
      </c>
    </row>
    <row r="50" spans="1:14" x14ac:dyDescent="0.3">
      <c r="A50">
        <v>23</v>
      </c>
      <c r="B50" s="138">
        <f t="shared" ca="1" si="2"/>
        <v>0.54044279884272206</v>
      </c>
      <c r="C50" s="138">
        <f t="shared" ca="1" si="2"/>
        <v>0.91907516286400803</v>
      </c>
      <c r="D50" s="138">
        <f t="shared" ca="1" si="2"/>
        <v>0.76784256255638195</v>
      </c>
      <c r="E50" s="138">
        <f t="shared" ca="1" si="2"/>
        <v>0.55034476136666199</v>
      </c>
      <c r="F50" s="138">
        <f t="shared" ca="1" si="2"/>
        <v>0.76047195360815156</v>
      </c>
      <c r="G50">
        <f t="shared" si="3"/>
        <v>1</v>
      </c>
      <c r="H50">
        <f t="shared" ca="1" si="4"/>
        <v>1</v>
      </c>
      <c r="I50">
        <f t="shared" ca="1" si="5"/>
        <v>1</v>
      </c>
      <c r="J50">
        <f t="shared" ca="1" si="6"/>
        <v>1</v>
      </c>
      <c r="K50">
        <f t="shared" ca="1" si="7"/>
        <v>1</v>
      </c>
      <c r="L50">
        <f t="shared" ca="1" si="8"/>
        <v>1</v>
      </c>
      <c r="M50">
        <f t="shared" ca="1" si="9"/>
        <v>1</v>
      </c>
      <c r="N50">
        <f t="shared" ca="1" si="10"/>
        <v>1</v>
      </c>
    </row>
    <row r="51" spans="1:14" x14ac:dyDescent="0.3">
      <c r="A51">
        <v>24</v>
      </c>
      <c r="B51" s="138">
        <f t="shared" ca="1" si="2"/>
        <v>0.13103628798200506</v>
      </c>
      <c r="C51" s="138">
        <f t="shared" ca="1" si="2"/>
        <v>0.48060897918866707</v>
      </c>
      <c r="D51" s="138">
        <f t="shared" ca="1" si="2"/>
        <v>0.22020412499008302</v>
      </c>
      <c r="E51" s="138">
        <f t="shared" ca="1" si="2"/>
        <v>0.39952267776239525</v>
      </c>
      <c r="F51" s="138">
        <f t="shared" ca="1" si="2"/>
        <v>0.39818680044963883</v>
      </c>
      <c r="G51">
        <f t="shared" si="3"/>
        <v>1</v>
      </c>
      <c r="H51">
        <f t="shared" ca="1" si="4"/>
        <v>1</v>
      </c>
      <c r="I51">
        <f t="shared" ca="1" si="5"/>
        <v>1</v>
      </c>
      <c r="J51">
        <f t="shared" ca="1" si="6"/>
        <v>1</v>
      </c>
      <c r="K51">
        <f t="shared" ca="1" si="7"/>
        <v>1</v>
      </c>
      <c r="L51">
        <f t="shared" ca="1" si="8"/>
        <v>1</v>
      </c>
      <c r="M51">
        <f t="shared" ca="1" si="9"/>
        <v>1</v>
      </c>
      <c r="N51">
        <f t="shared" ca="1" si="10"/>
        <v>1</v>
      </c>
    </row>
    <row r="52" spans="1:14" x14ac:dyDescent="0.3">
      <c r="A52">
        <v>25</v>
      </c>
      <c r="B52" s="138">
        <f t="shared" ca="1" si="2"/>
        <v>0.55133003022039484</v>
      </c>
      <c r="C52" s="138">
        <f t="shared" ca="1" si="2"/>
        <v>4.4195688600380034E-2</v>
      </c>
      <c r="D52" s="138">
        <f t="shared" ca="1" si="2"/>
        <v>0.57848002902710649</v>
      </c>
      <c r="E52" s="138">
        <f t="shared" ca="1" si="2"/>
        <v>3.8767517761620018E-2</v>
      </c>
      <c r="F52" s="138">
        <f t="shared" ca="1" si="2"/>
        <v>0.43057687877930806</v>
      </c>
      <c r="G52">
        <f t="shared" si="3"/>
        <v>1</v>
      </c>
      <c r="H52">
        <f t="shared" ca="1" si="4"/>
        <v>1</v>
      </c>
      <c r="I52">
        <f t="shared" ca="1" si="5"/>
        <v>1</v>
      </c>
      <c r="J52">
        <f t="shared" ca="1" si="6"/>
        <v>1</v>
      </c>
      <c r="K52">
        <f t="shared" ca="1" si="7"/>
        <v>1</v>
      </c>
      <c r="L52">
        <f t="shared" ca="1" si="8"/>
        <v>1</v>
      </c>
      <c r="M52">
        <f t="shared" ca="1" si="9"/>
        <v>1</v>
      </c>
      <c r="N52">
        <f t="shared" ca="1" si="10"/>
        <v>1</v>
      </c>
    </row>
    <row r="53" spans="1:14" x14ac:dyDescent="0.3">
      <c r="A53">
        <v>26</v>
      </c>
      <c r="B53" s="138">
        <f t="shared" ca="1" si="2"/>
        <v>0.4718590737010192</v>
      </c>
      <c r="C53" s="138">
        <f t="shared" ca="1" si="2"/>
        <v>0.62465455049767582</v>
      </c>
      <c r="D53" s="138">
        <f t="shared" ca="1" si="2"/>
        <v>0.75113712582035697</v>
      </c>
      <c r="E53" s="138">
        <f t="shared" ca="1" si="2"/>
        <v>0.37052443086529085</v>
      </c>
      <c r="F53" s="138">
        <f t="shared" ca="1" si="2"/>
        <v>0.90991104894682295</v>
      </c>
      <c r="G53">
        <f t="shared" si="3"/>
        <v>1</v>
      </c>
      <c r="H53">
        <f t="shared" ca="1" si="4"/>
        <v>1</v>
      </c>
      <c r="I53">
        <f t="shared" ca="1" si="5"/>
        <v>1</v>
      </c>
      <c r="J53">
        <f t="shared" ca="1" si="6"/>
        <v>1</v>
      </c>
      <c r="K53">
        <f t="shared" ca="1" si="7"/>
        <v>1</v>
      </c>
      <c r="L53">
        <f t="shared" ca="1" si="8"/>
        <v>1</v>
      </c>
      <c r="M53">
        <f t="shared" ca="1" si="9"/>
        <v>1</v>
      </c>
      <c r="N53">
        <f t="shared" ca="1" si="10"/>
        <v>1</v>
      </c>
    </row>
    <row r="54" spans="1:14" x14ac:dyDescent="0.3">
      <c r="A54">
        <v>27</v>
      </c>
      <c r="B54" s="138">
        <f t="shared" ca="1" si="2"/>
        <v>0.70265331153808219</v>
      </c>
      <c r="C54" s="138">
        <f t="shared" ca="1" si="2"/>
        <v>0.41640933808006053</v>
      </c>
      <c r="D54" s="138">
        <f t="shared" ca="1" si="2"/>
        <v>0.63277668373187779</v>
      </c>
      <c r="E54" s="138">
        <f t="shared" ca="1" si="2"/>
        <v>0.47884169872481441</v>
      </c>
      <c r="F54" s="138">
        <f t="shared" ca="1" si="2"/>
        <v>0.40644350693569276</v>
      </c>
      <c r="G54">
        <f t="shared" si="3"/>
        <v>1</v>
      </c>
      <c r="H54">
        <f t="shared" ca="1" si="4"/>
        <v>1</v>
      </c>
      <c r="I54">
        <f t="shared" ca="1" si="5"/>
        <v>1</v>
      </c>
      <c r="J54">
        <f t="shared" ca="1" si="6"/>
        <v>1</v>
      </c>
      <c r="K54">
        <f t="shared" ca="1" si="7"/>
        <v>1</v>
      </c>
      <c r="L54">
        <f t="shared" ca="1" si="8"/>
        <v>1</v>
      </c>
      <c r="M54">
        <f t="shared" ca="1" si="9"/>
        <v>1</v>
      </c>
      <c r="N54">
        <f t="shared" ca="1" si="10"/>
        <v>1</v>
      </c>
    </row>
    <row r="55" spans="1:14" x14ac:dyDescent="0.3">
      <c r="A55">
        <v>28</v>
      </c>
      <c r="B55" s="138">
        <f t="shared" ca="1" si="2"/>
        <v>0.83624847836471172</v>
      </c>
      <c r="C55" s="138">
        <f t="shared" ca="1" si="2"/>
        <v>0.54630094015512887</v>
      </c>
      <c r="D55" s="138">
        <f t="shared" ca="1" si="2"/>
        <v>0.25212207907125062</v>
      </c>
      <c r="E55" s="138">
        <f t="shared" ca="1" si="2"/>
        <v>0.21846008162111352</v>
      </c>
      <c r="F55" s="138">
        <f t="shared" ca="1" si="2"/>
        <v>0.95195151273105738</v>
      </c>
      <c r="G55">
        <f t="shared" si="3"/>
        <v>1</v>
      </c>
      <c r="H55">
        <f t="shared" ca="1" si="4"/>
        <v>1</v>
      </c>
      <c r="I55">
        <f t="shared" ca="1" si="5"/>
        <v>1</v>
      </c>
      <c r="J55">
        <f t="shared" ca="1" si="6"/>
        <v>1</v>
      </c>
      <c r="K55">
        <f t="shared" ca="1" si="7"/>
        <v>1</v>
      </c>
      <c r="L55">
        <f t="shared" ca="1" si="8"/>
        <v>1</v>
      </c>
      <c r="M55">
        <f t="shared" ca="1" si="9"/>
        <v>1</v>
      </c>
      <c r="N55">
        <f t="shared" ca="1" si="10"/>
        <v>1</v>
      </c>
    </row>
    <row r="56" spans="1:14" x14ac:dyDescent="0.3">
      <c r="A56">
        <v>29</v>
      </c>
      <c r="B56" s="138">
        <f t="shared" ca="1" si="2"/>
        <v>4.1480310999099768E-2</v>
      </c>
      <c r="C56" s="138">
        <f t="shared" ca="1" si="2"/>
        <v>0.77703021482740697</v>
      </c>
      <c r="D56" s="138">
        <f t="shared" ca="1" si="2"/>
        <v>0.50004912859882833</v>
      </c>
      <c r="E56" s="138">
        <f t="shared" ca="1" si="2"/>
        <v>0.98215263318448098</v>
      </c>
      <c r="F56" s="138">
        <f t="shared" ca="1" si="2"/>
        <v>0.8029184684714783</v>
      </c>
      <c r="G56">
        <f t="shared" si="3"/>
        <v>1</v>
      </c>
      <c r="H56">
        <f t="shared" ca="1" si="4"/>
        <v>1</v>
      </c>
      <c r="I56">
        <f t="shared" ca="1" si="5"/>
        <v>1</v>
      </c>
      <c r="J56">
        <f t="shared" ca="1" si="6"/>
        <v>1</v>
      </c>
      <c r="K56">
        <f t="shared" ca="1" si="7"/>
        <v>1</v>
      </c>
      <c r="L56">
        <f t="shared" ca="1" si="8"/>
        <v>1</v>
      </c>
      <c r="M56">
        <f t="shared" ca="1" si="9"/>
        <v>1</v>
      </c>
      <c r="N56">
        <f t="shared" ca="1" si="10"/>
        <v>1</v>
      </c>
    </row>
    <row r="57" spans="1:14" x14ac:dyDescent="0.3">
      <c r="A57">
        <v>30</v>
      </c>
      <c r="B57" s="138">
        <f t="shared" ca="1" si="2"/>
        <v>0.92045103171808063</v>
      </c>
      <c r="C57" s="138">
        <f t="shared" ca="1" si="2"/>
        <v>0.15884644915374169</v>
      </c>
      <c r="D57" s="138">
        <f t="shared" ca="1" si="2"/>
        <v>0.97047981341912426</v>
      </c>
      <c r="E57" s="138">
        <f t="shared" ca="1" si="2"/>
        <v>0.30472797315964895</v>
      </c>
      <c r="F57" s="138">
        <f t="shared" ca="1" si="2"/>
        <v>0.88066584795100411</v>
      </c>
      <c r="G57">
        <f t="shared" si="3"/>
        <v>1</v>
      </c>
      <c r="H57">
        <f t="shared" ca="1" si="4"/>
        <v>1</v>
      </c>
      <c r="I57">
        <f t="shared" ca="1" si="5"/>
        <v>1</v>
      </c>
      <c r="J57">
        <f t="shared" ca="1" si="6"/>
        <v>1</v>
      </c>
      <c r="K57">
        <f t="shared" ca="1" si="7"/>
        <v>1</v>
      </c>
      <c r="L57">
        <f t="shared" ca="1" si="8"/>
        <v>1</v>
      </c>
      <c r="M57">
        <f t="shared" ca="1" si="9"/>
        <v>1</v>
      </c>
      <c r="N57">
        <f t="shared" ca="1" si="10"/>
        <v>1</v>
      </c>
    </row>
    <row r="58" spans="1:14" x14ac:dyDescent="0.3">
      <c r="A58">
        <v>31</v>
      </c>
      <c r="B58" s="138">
        <f t="shared" ca="1" si="2"/>
        <v>0.70511934333020521</v>
      </c>
      <c r="C58" s="138">
        <f t="shared" ca="1" si="2"/>
        <v>0.49955372364904671</v>
      </c>
      <c r="D58" s="138">
        <f t="shared" ca="1" si="2"/>
        <v>0.96197830265755213</v>
      </c>
      <c r="E58" s="138">
        <f t="shared" ca="1" si="2"/>
        <v>0.36507980342003132</v>
      </c>
      <c r="F58" s="138">
        <f t="shared" ca="1" si="2"/>
        <v>0.56552954920435605</v>
      </c>
      <c r="G58">
        <f t="shared" si="3"/>
        <v>1</v>
      </c>
      <c r="H58">
        <f t="shared" ca="1" si="4"/>
        <v>1</v>
      </c>
      <c r="I58">
        <f t="shared" ca="1" si="5"/>
        <v>1</v>
      </c>
      <c r="J58">
        <f t="shared" ca="1" si="6"/>
        <v>1</v>
      </c>
      <c r="K58">
        <f t="shared" ca="1" si="7"/>
        <v>1</v>
      </c>
      <c r="L58">
        <f t="shared" ca="1" si="8"/>
        <v>1</v>
      </c>
      <c r="M58">
        <f t="shared" ca="1" si="9"/>
        <v>1</v>
      </c>
      <c r="N58">
        <f t="shared" ca="1" si="10"/>
        <v>1</v>
      </c>
    </row>
    <row r="59" spans="1:14" x14ac:dyDescent="0.3">
      <c r="A59">
        <v>32</v>
      </c>
      <c r="B59" s="138">
        <f t="shared" ca="1" si="2"/>
        <v>0.79889839682431352</v>
      </c>
      <c r="C59" s="138">
        <f t="shared" ca="1" si="2"/>
        <v>0.75521594225791622</v>
      </c>
      <c r="D59" s="138">
        <f t="shared" ca="1" si="2"/>
        <v>0.84340941462326657</v>
      </c>
      <c r="E59" s="138">
        <f t="shared" ca="1" si="2"/>
        <v>7.4173264833329089E-2</v>
      </c>
      <c r="F59" s="138">
        <f t="shared" ca="1" si="2"/>
        <v>0.85970969454582957</v>
      </c>
      <c r="G59">
        <f t="shared" si="3"/>
        <v>1</v>
      </c>
      <c r="H59">
        <f t="shared" ca="1" si="4"/>
        <v>1</v>
      </c>
      <c r="I59">
        <f t="shared" ca="1" si="5"/>
        <v>1</v>
      </c>
      <c r="J59">
        <f t="shared" ca="1" si="6"/>
        <v>1</v>
      </c>
      <c r="K59">
        <f t="shared" ca="1" si="7"/>
        <v>1</v>
      </c>
      <c r="L59">
        <f t="shared" ca="1" si="8"/>
        <v>1</v>
      </c>
      <c r="M59">
        <f t="shared" ca="1" si="9"/>
        <v>1</v>
      </c>
      <c r="N59">
        <f t="shared" ca="1" si="10"/>
        <v>1</v>
      </c>
    </row>
    <row r="60" spans="1:14" x14ac:dyDescent="0.3">
      <c r="A60">
        <v>33</v>
      </c>
      <c r="B60" s="138">
        <f t="shared" ca="1" si="2"/>
        <v>0.94326596836828891</v>
      </c>
      <c r="C60" s="138">
        <f t="shared" ca="1" si="2"/>
        <v>0.25249193817119409</v>
      </c>
      <c r="D60" s="138">
        <f t="shared" ca="1" si="2"/>
        <v>0.95016053852216531</v>
      </c>
      <c r="E60" s="138">
        <f t="shared" ca="1" si="2"/>
        <v>0.4304538189531103</v>
      </c>
      <c r="F60" s="138">
        <f t="shared" ca="1" si="2"/>
        <v>0.23132015224219915</v>
      </c>
      <c r="G60">
        <f t="shared" si="3"/>
        <v>1</v>
      </c>
      <c r="H60">
        <f t="shared" ca="1" si="4"/>
        <v>1</v>
      </c>
      <c r="I60">
        <f t="shared" ca="1" si="5"/>
        <v>1</v>
      </c>
      <c r="J60">
        <f t="shared" ca="1" si="6"/>
        <v>1</v>
      </c>
      <c r="K60">
        <f t="shared" ca="1" si="7"/>
        <v>1</v>
      </c>
      <c r="L60">
        <f t="shared" ca="1" si="8"/>
        <v>1</v>
      </c>
      <c r="M60">
        <f t="shared" ca="1" si="9"/>
        <v>1</v>
      </c>
      <c r="N60">
        <f t="shared" ca="1" si="10"/>
        <v>1</v>
      </c>
    </row>
    <row r="61" spans="1:14" x14ac:dyDescent="0.3">
      <c r="A61">
        <v>34</v>
      </c>
      <c r="B61" s="138">
        <f t="shared" ref="B61:F92" ca="1" si="11">RAND()</f>
        <v>0.86267311317896234</v>
      </c>
      <c r="C61" s="138">
        <f t="shared" ca="1" si="11"/>
        <v>0.50292689097818621</v>
      </c>
      <c r="D61" s="138">
        <f t="shared" ca="1" si="11"/>
        <v>0.59652003729613901</v>
      </c>
      <c r="E61" s="138">
        <f t="shared" ca="1" si="11"/>
        <v>0.70558276991172664</v>
      </c>
      <c r="F61" s="138">
        <f t="shared" ca="1" si="11"/>
        <v>0.59339022482419967</v>
      </c>
      <c r="G61">
        <f t="shared" si="3"/>
        <v>1</v>
      </c>
      <c r="H61">
        <f t="shared" ca="1" si="4"/>
        <v>1</v>
      </c>
      <c r="I61">
        <f t="shared" ca="1" si="5"/>
        <v>1</v>
      </c>
      <c r="J61">
        <f t="shared" ca="1" si="6"/>
        <v>1</v>
      </c>
      <c r="K61">
        <f t="shared" ca="1" si="7"/>
        <v>1</v>
      </c>
      <c r="L61">
        <f t="shared" ca="1" si="8"/>
        <v>1</v>
      </c>
      <c r="M61">
        <f t="shared" ca="1" si="9"/>
        <v>1</v>
      </c>
      <c r="N61">
        <f t="shared" ca="1" si="10"/>
        <v>1</v>
      </c>
    </row>
    <row r="62" spans="1:14" x14ac:dyDescent="0.3">
      <c r="A62">
        <v>35</v>
      </c>
      <c r="B62" s="138">
        <f t="shared" ca="1" si="11"/>
        <v>0.44278347586893108</v>
      </c>
      <c r="C62" s="138">
        <f t="shared" ca="1" si="11"/>
        <v>0.27913153978278549</v>
      </c>
      <c r="D62" s="138">
        <f t="shared" ca="1" si="11"/>
        <v>0.70642703032427423</v>
      </c>
      <c r="E62" s="138">
        <f t="shared" ca="1" si="11"/>
        <v>0.72386950164646713</v>
      </c>
      <c r="F62" s="138">
        <f t="shared" ca="1" si="11"/>
        <v>0.4971171225089428</v>
      </c>
      <c r="G62">
        <f t="shared" si="3"/>
        <v>1</v>
      </c>
      <c r="H62">
        <f t="shared" ca="1" si="4"/>
        <v>1</v>
      </c>
      <c r="I62">
        <f t="shared" ca="1" si="5"/>
        <v>1</v>
      </c>
      <c r="J62">
        <f t="shared" ca="1" si="6"/>
        <v>1</v>
      </c>
      <c r="K62">
        <f t="shared" ca="1" si="7"/>
        <v>1</v>
      </c>
      <c r="L62">
        <f t="shared" ca="1" si="8"/>
        <v>1</v>
      </c>
      <c r="M62">
        <f t="shared" ca="1" si="9"/>
        <v>1</v>
      </c>
      <c r="N62">
        <f t="shared" ca="1" si="10"/>
        <v>1</v>
      </c>
    </row>
    <row r="63" spans="1:14" x14ac:dyDescent="0.3">
      <c r="A63">
        <v>36</v>
      </c>
      <c r="B63" s="138">
        <f t="shared" ca="1" si="11"/>
        <v>7.1522058410455891E-3</v>
      </c>
      <c r="C63" s="138">
        <f t="shared" ca="1" si="11"/>
        <v>0.4890279173890153</v>
      </c>
      <c r="D63" s="138">
        <f t="shared" ca="1" si="11"/>
        <v>0.11507113731304919</v>
      </c>
      <c r="E63" s="138">
        <f t="shared" ca="1" si="11"/>
        <v>0.1692690194550085</v>
      </c>
      <c r="F63" s="138">
        <f t="shared" ca="1" si="11"/>
        <v>0.30220120478400592</v>
      </c>
      <c r="G63">
        <f t="shared" si="3"/>
        <v>1</v>
      </c>
      <c r="H63">
        <f t="shared" ca="1" si="4"/>
        <v>1</v>
      </c>
      <c r="I63">
        <f t="shared" ca="1" si="5"/>
        <v>1</v>
      </c>
      <c r="J63">
        <f t="shared" ca="1" si="6"/>
        <v>1</v>
      </c>
      <c r="K63">
        <f t="shared" ca="1" si="7"/>
        <v>1</v>
      </c>
      <c r="L63">
        <f t="shared" ca="1" si="8"/>
        <v>1</v>
      </c>
      <c r="M63">
        <f t="shared" ca="1" si="9"/>
        <v>1</v>
      </c>
      <c r="N63">
        <f t="shared" ca="1" si="10"/>
        <v>1</v>
      </c>
    </row>
    <row r="64" spans="1:14" x14ac:dyDescent="0.3">
      <c r="A64">
        <v>37</v>
      </c>
      <c r="B64" s="138">
        <f t="shared" ca="1" si="11"/>
        <v>0.31359053511300872</v>
      </c>
      <c r="C64" s="138">
        <f t="shared" ca="1" si="11"/>
        <v>0.38123503257212299</v>
      </c>
      <c r="D64" s="138">
        <f t="shared" ca="1" si="11"/>
        <v>0.655209041533379</v>
      </c>
      <c r="E64" s="138">
        <f t="shared" ca="1" si="11"/>
        <v>0.7532936246580697</v>
      </c>
      <c r="F64" s="138">
        <f t="shared" ca="1" si="11"/>
        <v>0.16634234425038574</v>
      </c>
      <c r="G64">
        <f t="shared" si="3"/>
        <v>1</v>
      </c>
      <c r="H64">
        <f t="shared" ca="1" si="4"/>
        <v>1</v>
      </c>
      <c r="I64">
        <f t="shared" ca="1" si="5"/>
        <v>1</v>
      </c>
      <c r="J64">
        <f t="shared" ca="1" si="6"/>
        <v>1</v>
      </c>
      <c r="K64">
        <f t="shared" ca="1" si="7"/>
        <v>1</v>
      </c>
      <c r="L64">
        <f t="shared" ca="1" si="8"/>
        <v>1</v>
      </c>
      <c r="M64">
        <f t="shared" ca="1" si="9"/>
        <v>1</v>
      </c>
      <c r="N64">
        <f t="shared" ca="1" si="10"/>
        <v>1</v>
      </c>
    </row>
    <row r="65" spans="1:14" x14ac:dyDescent="0.3">
      <c r="A65">
        <v>38</v>
      </c>
      <c r="B65" s="138">
        <f t="shared" ca="1" si="11"/>
        <v>0.67179746577572919</v>
      </c>
      <c r="C65" s="138">
        <f t="shared" ca="1" si="11"/>
        <v>0.23017400498324059</v>
      </c>
      <c r="D65" s="138">
        <f t="shared" ca="1" si="11"/>
        <v>0.56751505344964071</v>
      </c>
      <c r="E65" s="138">
        <f t="shared" ca="1" si="11"/>
        <v>0.38841610826669504</v>
      </c>
      <c r="F65" s="138">
        <f t="shared" ca="1" si="11"/>
        <v>0.34654148185349853</v>
      </c>
      <c r="G65">
        <f t="shared" si="3"/>
        <v>1</v>
      </c>
      <c r="H65">
        <f t="shared" ca="1" si="4"/>
        <v>1</v>
      </c>
      <c r="I65">
        <f t="shared" ca="1" si="5"/>
        <v>1</v>
      </c>
      <c r="J65">
        <f t="shared" ca="1" si="6"/>
        <v>1</v>
      </c>
      <c r="K65">
        <f t="shared" ca="1" si="7"/>
        <v>1</v>
      </c>
      <c r="L65">
        <f t="shared" ca="1" si="8"/>
        <v>1</v>
      </c>
      <c r="M65">
        <f t="shared" ca="1" si="9"/>
        <v>1</v>
      </c>
      <c r="N65">
        <f t="shared" ca="1" si="10"/>
        <v>1</v>
      </c>
    </row>
    <row r="66" spans="1:14" x14ac:dyDescent="0.3">
      <c r="A66">
        <v>39</v>
      </c>
      <c r="B66" s="138">
        <f t="shared" ca="1" si="11"/>
        <v>0.83978766618491185</v>
      </c>
      <c r="C66" s="138">
        <f t="shared" ca="1" si="11"/>
        <v>0.79497576670673642</v>
      </c>
      <c r="D66" s="138">
        <f t="shared" ca="1" si="11"/>
        <v>0.93425215044031695</v>
      </c>
      <c r="E66" s="138">
        <f t="shared" ca="1" si="11"/>
        <v>0.71340005195980594</v>
      </c>
      <c r="F66" s="138">
        <f t="shared" ca="1" si="11"/>
        <v>0.22302895665855027</v>
      </c>
      <c r="G66">
        <f t="shared" si="3"/>
        <v>1</v>
      </c>
      <c r="H66">
        <f t="shared" ca="1" si="4"/>
        <v>1</v>
      </c>
      <c r="I66">
        <f t="shared" ca="1" si="5"/>
        <v>1</v>
      </c>
      <c r="J66">
        <f t="shared" ca="1" si="6"/>
        <v>1</v>
      </c>
      <c r="K66">
        <f t="shared" ca="1" si="7"/>
        <v>1</v>
      </c>
      <c r="L66">
        <f t="shared" ca="1" si="8"/>
        <v>1</v>
      </c>
      <c r="M66">
        <f t="shared" ca="1" si="9"/>
        <v>1</v>
      </c>
      <c r="N66">
        <f t="shared" ca="1" si="10"/>
        <v>1</v>
      </c>
    </row>
    <row r="67" spans="1:14" x14ac:dyDescent="0.3">
      <c r="A67">
        <v>40</v>
      </c>
      <c r="B67" s="138">
        <f t="shared" ca="1" si="11"/>
        <v>0.17286669271742772</v>
      </c>
      <c r="C67" s="138">
        <f t="shared" ca="1" si="11"/>
        <v>0.4695239753698851</v>
      </c>
      <c r="D67" s="138">
        <f t="shared" ca="1" si="11"/>
        <v>0.17078767384793647</v>
      </c>
      <c r="E67" s="138">
        <f t="shared" ca="1" si="11"/>
        <v>0.83791184801093033</v>
      </c>
      <c r="F67" s="138">
        <f t="shared" ca="1" si="11"/>
        <v>0.78322541521064559</v>
      </c>
      <c r="G67">
        <f t="shared" si="3"/>
        <v>1</v>
      </c>
      <c r="H67">
        <f t="shared" ca="1" si="4"/>
        <v>1</v>
      </c>
      <c r="I67">
        <f t="shared" ca="1" si="5"/>
        <v>1</v>
      </c>
      <c r="J67">
        <f t="shared" ca="1" si="6"/>
        <v>1</v>
      </c>
      <c r="K67">
        <f t="shared" ca="1" si="7"/>
        <v>1</v>
      </c>
      <c r="L67">
        <f t="shared" ca="1" si="8"/>
        <v>1</v>
      </c>
      <c r="M67">
        <f t="shared" ca="1" si="9"/>
        <v>1</v>
      </c>
      <c r="N67">
        <f t="shared" ca="1" si="10"/>
        <v>1</v>
      </c>
    </row>
    <row r="68" spans="1:14" x14ac:dyDescent="0.3">
      <c r="A68">
        <v>41</v>
      </c>
      <c r="B68" s="138">
        <f t="shared" ca="1" si="11"/>
        <v>0.21834062390604247</v>
      </c>
      <c r="C68" s="138">
        <f t="shared" ca="1" si="11"/>
        <v>0.86924442111233657</v>
      </c>
      <c r="D68" s="138">
        <f t="shared" ca="1" si="11"/>
        <v>0.3519454529189342</v>
      </c>
      <c r="E68" s="138">
        <f t="shared" ca="1" si="11"/>
        <v>0.43816381454729714</v>
      </c>
      <c r="F68" s="138">
        <f t="shared" ca="1" si="11"/>
        <v>0.87543126161870621</v>
      </c>
      <c r="G68">
        <f t="shared" si="3"/>
        <v>1</v>
      </c>
      <c r="H68">
        <f t="shared" ca="1" si="4"/>
        <v>1</v>
      </c>
      <c r="I68">
        <f t="shared" ca="1" si="5"/>
        <v>1</v>
      </c>
      <c r="J68">
        <f t="shared" ca="1" si="6"/>
        <v>1</v>
      </c>
      <c r="K68">
        <f t="shared" ca="1" si="7"/>
        <v>1</v>
      </c>
      <c r="L68">
        <f t="shared" ca="1" si="8"/>
        <v>1</v>
      </c>
      <c r="M68">
        <f t="shared" ca="1" si="9"/>
        <v>1</v>
      </c>
      <c r="N68">
        <f t="shared" ca="1" si="10"/>
        <v>1</v>
      </c>
    </row>
    <row r="69" spans="1:14" x14ac:dyDescent="0.3">
      <c r="A69">
        <v>42</v>
      </c>
      <c r="B69" s="138">
        <f t="shared" ca="1" si="11"/>
        <v>0.36861116196427457</v>
      </c>
      <c r="C69" s="138">
        <f t="shared" ca="1" si="11"/>
        <v>0.76866970603632234</v>
      </c>
      <c r="D69" s="138">
        <f t="shared" ca="1" si="11"/>
        <v>0.52149823145058238</v>
      </c>
      <c r="E69" s="138">
        <f t="shared" ca="1" si="11"/>
        <v>0.71697246378816804</v>
      </c>
      <c r="F69" s="138">
        <f t="shared" ca="1" si="11"/>
        <v>0.61448162667122652</v>
      </c>
      <c r="G69">
        <f t="shared" si="3"/>
        <v>1</v>
      </c>
      <c r="H69">
        <f t="shared" ca="1" si="4"/>
        <v>1</v>
      </c>
      <c r="I69">
        <f t="shared" ca="1" si="5"/>
        <v>1</v>
      </c>
      <c r="J69">
        <f t="shared" ca="1" si="6"/>
        <v>1</v>
      </c>
      <c r="K69">
        <f t="shared" ca="1" si="7"/>
        <v>1</v>
      </c>
      <c r="L69">
        <f t="shared" ca="1" si="8"/>
        <v>1</v>
      </c>
      <c r="M69">
        <f t="shared" ca="1" si="9"/>
        <v>1</v>
      </c>
      <c r="N69">
        <f t="shared" ca="1" si="10"/>
        <v>1</v>
      </c>
    </row>
    <row r="70" spans="1:14" x14ac:dyDescent="0.3">
      <c r="A70">
        <v>43</v>
      </c>
      <c r="B70" s="138">
        <f t="shared" ca="1" si="11"/>
        <v>0.8643329739654938</v>
      </c>
      <c r="C70" s="138">
        <f t="shared" ca="1" si="11"/>
        <v>0.75586859756823177</v>
      </c>
      <c r="D70" s="138">
        <f t="shared" ca="1" si="11"/>
        <v>0.32025299532924878</v>
      </c>
      <c r="E70" s="138">
        <f t="shared" ca="1" si="11"/>
        <v>0.24940479416355743</v>
      </c>
      <c r="F70" s="138">
        <f t="shared" ca="1" si="11"/>
        <v>0.51437772922857861</v>
      </c>
      <c r="G70">
        <f t="shared" si="3"/>
        <v>1</v>
      </c>
      <c r="H70">
        <f t="shared" ca="1" si="4"/>
        <v>1</v>
      </c>
      <c r="I70">
        <f t="shared" ca="1" si="5"/>
        <v>1</v>
      </c>
      <c r="J70">
        <f t="shared" ca="1" si="6"/>
        <v>1</v>
      </c>
      <c r="K70">
        <f t="shared" ca="1" si="7"/>
        <v>1</v>
      </c>
      <c r="L70">
        <f t="shared" ca="1" si="8"/>
        <v>1</v>
      </c>
      <c r="M70">
        <f t="shared" ca="1" si="9"/>
        <v>1</v>
      </c>
      <c r="N70">
        <f t="shared" ca="1" si="10"/>
        <v>1</v>
      </c>
    </row>
    <row r="71" spans="1:14" x14ac:dyDescent="0.3">
      <c r="A71">
        <v>44</v>
      </c>
      <c r="B71" s="138">
        <f t="shared" ca="1" si="11"/>
        <v>0.24963699436277687</v>
      </c>
      <c r="C71" s="138">
        <f t="shared" ca="1" si="11"/>
        <v>0.96204989628584481</v>
      </c>
      <c r="D71" s="138">
        <f t="shared" ca="1" si="11"/>
        <v>0.18939831043611144</v>
      </c>
      <c r="E71" s="138">
        <f t="shared" ca="1" si="11"/>
        <v>0.3924442899163223</v>
      </c>
      <c r="F71" s="138">
        <f t="shared" ca="1" si="11"/>
        <v>0.24297212449659544</v>
      </c>
      <c r="G71">
        <f t="shared" si="3"/>
        <v>1</v>
      </c>
      <c r="H71">
        <f t="shared" ca="1" si="4"/>
        <v>1</v>
      </c>
      <c r="I71">
        <f t="shared" ca="1" si="5"/>
        <v>1</v>
      </c>
      <c r="J71">
        <f t="shared" ca="1" si="6"/>
        <v>1</v>
      </c>
      <c r="K71">
        <f t="shared" ca="1" si="7"/>
        <v>1</v>
      </c>
      <c r="L71">
        <f t="shared" ca="1" si="8"/>
        <v>1</v>
      </c>
      <c r="M71">
        <f t="shared" ca="1" si="9"/>
        <v>1</v>
      </c>
      <c r="N71">
        <f t="shared" ca="1" si="10"/>
        <v>1</v>
      </c>
    </row>
    <row r="72" spans="1:14" x14ac:dyDescent="0.3">
      <c r="A72">
        <v>45</v>
      </c>
      <c r="B72" s="138">
        <f t="shared" ca="1" si="11"/>
        <v>0.44963669150311969</v>
      </c>
      <c r="C72" s="138">
        <f t="shared" ca="1" si="11"/>
        <v>5.7096466442573601E-2</v>
      </c>
      <c r="D72" s="138">
        <f t="shared" ca="1" si="11"/>
        <v>0.95436393231105365</v>
      </c>
      <c r="E72" s="138">
        <f t="shared" ca="1" si="11"/>
        <v>0.19399537116098986</v>
      </c>
      <c r="F72" s="138">
        <f t="shared" ca="1" si="11"/>
        <v>4.7126586869730147E-3</v>
      </c>
      <c r="G72">
        <f t="shared" si="3"/>
        <v>1</v>
      </c>
      <c r="H72">
        <f t="shared" ca="1" si="4"/>
        <v>1</v>
      </c>
      <c r="I72">
        <f t="shared" ca="1" si="5"/>
        <v>1</v>
      </c>
      <c r="J72">
        <f t="shared" ca="1" si="6"/>
        <v>1</v>
      </c>
      <c r="K72">
        <f t="shared" ca="1" si="7"/>
        <v>1</v>
      </c>
      <c r="L72">
        <f t="shared" ca="1" si="8"/>
        <v>1</v>
      </c>
      <c r="M72">
        <f t="shared" ca="1" si="9"/>
        <v>1</v>
      </c>
      <c r="N72">
        <f t="shared" ca="1" si="10"/>
        <v>1</v>
      </c>
    </row>
    <row r="73" spans="1:14" x14ac:dyDescent="0.3">
      <c r="A73">
        <v>46</v>
      </c>
      <c r="B73" s="138">
        <f t="shared" ca="1" si="11"/>
        <v>0.75330850299718788</v>
      </c>
      <c r="C73" s="138">
        <f t="shared" ca="1" si="11"/>
        <v>0.51601281469966842</v>
      </c>
      <c r="D73" s="138">
        <f t="shared" ca="1" si="11"/>
        <v>0.45149604907117635</v>
      </c>
      <c r="E73" s="138">
        <f t="shared" ca="1" si="11"/>
        <v>0.717299183278305</v>
      </c>
      <c r="F73" s="138">
        <f t="shared" ca="1" si="11"/>
        <v>0.12880671665347521</v>
      </c>
      <c r="G73">
        <f t="shared" si="3"/>
        <v>1</v>
      </c>
      <c r="H73">
        <f t="shared" ca="1" si="4"/>
        <v>1</v>
      </c>
      <c r="I73">
        <f t="shared" ca="1" si="5"/>
        <v>1</v>
      </c>
      <c r="J73">
        <f t="shared" ca="1" si="6"/>
        <v>1</v>
      </c>
      <c r="K73">
        <f t="shared" ca="1" si="7"/>
        <v>1</v>
      </c>
      <c r="L73">
        <f t="shared" ca="1" si="8"/>
        <v>1</v>
      </c>
      <c r="M73">
        <f t="shared" ca="1" si="9"/>
        <v>1</v>
      </c>
      <c r="N73">
        <f t="shared" ca="1" si="10"/>
        <v>1</v>
      </c>
    </row>
    <row r="74" spans="1:14" x14ac:dyDescent="0.3">
      <c r="A74">
        <v>47</v>
      </c>
      <c r="B74" s="138">
        <f t="shared" ca="1" si="11"/>
        <v>0.98736854672842644</v>
      </c>
      <c r="C74" s="138">
        <f t="shared" ca="1" si="11"/>
        <v>0.48083869474830732</v>
      </c>
      <c r="D74" s="138">
        <f t="shared" ca="1" si="11"/>
        <v>0.99232972674696873</v>
      </c>
      <c r="E74" s="138">
        <f t="shared" ca="1" si="11"/>
        <v>0.35762853441325215</v>
      </c>
      <c r="F74" s="138">
        <f t="shared" ca="1" si="11"/>
        <v>0.18654930219882704</v>
      </c>
      <c r="G74">
        <f t="shared" si="3"/>
        <v>1</v>
      </c>
      <c r="H74">
        <f t="shared" ca="1" si="4"/>
        <v>1</v>
      </c>
      <c r="I74">
        <f t="shared" ca="1" si="5"/>
        <v>1</v>
      </c>
      <c r="J74">
        <f t="shared" ca="1" si="6"/>
        <v>1</v>
      </c>
      <c r="K74">
        <f t="shared" ca="1" si="7"/>
        <v>1</v>
      </c>
      <c r="L74">
        <f t="shared" ca="1" si="8"/>
        <v>1</v>
      </c>
      <c r="M74">
        <f t="shared" ca="1" si="9"/>
        <v>1</v>
      </c>
      <c r="N74">
        <f t="shared" ca="1" si="10"/>
        <v>1</v>
      </c>
    </row>
    <row r="75" spans="1:14" x14ac:dyDescent="0.3">
      <c r="A75">
        <v>48</v>
      </c>
      <c r="B75" s="138">
        <f t="shared" ca="1" si="11"/>
        <v>0.30667607439001099</v>
      </c>
      <c r="C75" s="138">
        <f t="shared" ca="1" si="11"/>
        <v>0.32667830913311424</v>
      </c>
      <c r="D75" s="138">
        <f t="shared" ca="1" si="11"/>
        <v>0.27233480526009923</v>
      </c>
      <c r="E75" s="138">
        <f t="shared" ca="1" si="11"/>
        <v>0.10641333305111811</v>
      </c>
      <c r="F75" s="138">
        <f t="shared" ca="1" si="11"/>
        <v>0.73733072348645445</v>
      </c>
      <c r="G75">
        <f t="shared" si="3"/>
        <v>1</v>
      </c>
      <c r="H75">
        <f t="shared" ca="1" si="4"/>
        <v>1</v>
      </c>
      <c r="I75">
        <f t="shared" ca="1" si="5"/>
        <v>1</v>
      </c>
      <c r="J75">
        <f t="shared" ca="1" si="6"/>
        <v>1</v>
      </c>
      <c r="K75">
        <f t="shared" ca="1" si="7"/>
        <v>1</v>
      </c>
      <c r="L75">
        <f t="shared" ca="1" si="8"/>
        <v>1</v>
      </c>
      <c r="M75">
        <f t="shared" ca="1" si="9"/>
        <v>1</v>
      </c>
      <c r="N75">
        <f t="shared" ca="1" si="10"/>
        <v>1</v>
      </c>
    </row>
    <row r="76" spans="1:14" x14ac:dyDescent="0.3">
      <c r="A76">
        <v>49</v>
      </c>
      <c r="B76" s="138">
        <f t="shared" ca="1" si="11"/>
        <v>0.13756459557579048</v>
      </c>
      <c r="C76" s="138">
        <f t="shared" ca="1" si="11"/>
        <v>0.77852583061164637</v>
      </c>
      <c r="D76" s="138">
        <f t="shared" ca="1" si="11"/>
        <v>0.59638074737356217</v>
      </c>
      <c r="E76" s="138">
        <f t="shared" ca="1" si="11"/>
        <v>0.45374811551515892</v>
      </c>
      <c r="F76" s="138">
        <f t="shared" ca="1" si="11"/>
        <v>0.60728855625113976</v>
      </c>
      <c r="G76">
        <f t="shared" si="3"/>
        <v>1</v>
      </c>
      <c r="H76">
        <f t="shared" ca="1" si="4"/>
        <v>1</v>
      </c>
      <c r="I76">
        <f t="shared" ca="1" si="5"/>
        <v>1</v>
      </c>
      <c r="J76">
        <f t="shared" ca="1" si="6"/>
        <v>1</v>
      </c>
      <c r="K76">
        <f t="shared" ca="1" si="7"/>
        <v>1</v>
      </c>
      <c r="L76">
        <f t="shared" ca="1" si="8"/>
        <v>1</v>
      </c>
      <c r="M76">
        <f t="shared" ca="1" si="9"/>
        <v>1</v>
      </c>
      <c r="N76">
        <f t="shared" ca="1" si="10"/>
        <v>1</v>
      </c>
    </row>
    <row r="77" spans="1:14" x14ac:dyDescent="0.3">
      <c r="A77">
        <v>50</v>
      </c>
      <c r="B77" s="138">
        <f t="shared" ca="1" si="11"/>
        <v>0.20610442553815178</v>
      </c>
      <c r="C77" s="138">
        <f t="shared" ca="1" si="11"/>
        <v>0.42013175678832837</v>
      </c>
      <c r="D77" s="138">
        <f t="shared" ca="1" si="11"/>
        <v>0.55967521110279583</v>
      </c>
      <c r="E77" s="138">
        <f t="shared" ca="1" si="11"/>
        <v>0.1047006789796624</v>
      </c>
      <c r="F77" s="138">
        <f t="shared" ca="1" si="11"/>
        <v>0.66407902679750863</v>
      </c>
      <c r="G77">
        <f t="shared" si="3"/>
        <v>1</v>
      </c>
      <c r="H77">
        <f t="shared" ca="1" si="4"/>
        <v>1</v>
      </c>
      <c r="I77">
        <f t="shared" ca="1" si="5"/>
        <v>1</v>
      </c>
      <c r="J77">
        <f t="shared" ca="1" si="6"/>
        <v>1</v>
      </c>
      <c r="K77">
        <f t="shared" ca="1" si="7"/>
        <v>1</v>
      </c>
      <c r="L77">
        <f t="shared" ca="1" si="8"/>
        <v>1</v>
      </c>
      <c r="M77">
        <f t="shared" ca="1" si="9"/>
        <v>1</v>
      </c>
      <c r="N77">
        <f t="shared" ca="1" si="10"/>
        <v>1</v>
      </c>
    </row>
    <row r="78" spans="1:14" x14ac:dyDescent="0.3">
      <c r="A78">
        <v>51</v>
      </c>
      <c r="B78" s="138">
        <f t="shared" ca="1" si="11"/>
        <v>0.67062393767906625</v>
      </c>
      <c r="C78" s="138">
        <f t="shared" ca="1" si="11"/>
        <v>0.59261309239469973</v>
      </c>
      <c r="D78" s="138">
        <f t="shared" ca="1" si="11"/>
        <v>0.15022154331156046</v>
      </c>
      <c r="E78" s="138">
        <f t="shared" ca="1" si="11"/>
        <v>0.46530716226022439</v>
      </c>
      <c r="F78" s="138">
        <f t="shared" ca="1" si="11"/>
        <v>3.0154853637906154E-2</v>
      </c>
      <c r="G78">
        <f t="shared" si="3"/>
        <v>1</v>
      </c>
      <c r="H78">
        <f t="shared" ca="1" si="4"/>
        <v>1</v>
      </c>
      <c r="I78">
        <f t="shared" ca="1" si="5"/>
        <v>1</v>
      </c>
      <c r="J78">
        <f t="shared" ca="1" si="6"/>
        <v>1</v>
      </c>
      <c r="K78">
        <f t="shared" ca="1" si="7"/>
        <v>1</v>
      </c>
      <c r="L78">
        <f t="shared" ca="1" si="8"/>
        <v>1</v>
      </c>
      <c r="M78">
        <f t="shared" ca="1" si="9"/>
        <v>1</v>
      </c>
      <c r="N78">
        <f t="shared" ca="1" si="10"/>
        <v>1</v>
      </c>
    </row>
    <row r="79" spans="1:14" x14ac:dyDescent="0.3">
      <c r="A79">
        <v>52</v>
      </c>
      <c r="B79" s="138">
        <f t="shared" ca="1" si="11"/>
        <v>0.19563773301347176</v>
      </c>
      <c r="C79" s="138">
        <f t="shared" ca="1" si="11"/>
        <v>0.60800362440511346</v>
      </c>
      <c r="D79" s="138">
        <f t="shared" ca="1" si="11"/>
        <v>0.50734672755025922</v>
      </c>
      <c r="E79" s="138">
        <f t="shared" ca="1" si="11"/>
        <v>0.9607795150786681</v>
      </c>
      <c r="F79" s="138">
        <f t="shared" ca="1" si="11"/>
        <v>0.39907353971799786</v>
      </c>
      <c r="G79">
        <f t="shared" si="3"/>
        <v>1</v>
      </c>
      <c r="H79">
        <f t="shared" ca="1" si="4"/>
        <v>1</v>
      </c>
      <c r="I79">
        <f t="shared" ca="1" si="5"/>
        <v>1</v>
      </c>
      <c r="J79">
        <f t="shared" ca="1" si="6"/>
        <v>1</v>
      </c>
      <c r="K79">
        <f t="shared" ca="1" si="7"/>
        <v>1</v>
      </c>
      <c r="L79">
        <f t="shared" ca="1" si="8"/>
        <v>1</v>
      </c>
      <c r="M79">
        <f t="shared" ca="1" si="9"/>
        <v>1</v>
      </c>
      <c r="N79">
        <f t="shared" ca="1" si="10"/>
        <v>1</v>
      </c>
    </row>
    <row r="80" spans="1:14" x14ac:dyDescent="0.3">
      <c r="A80">
        <v>53</v>
      </c>
      <c r="B80" s="138">
        <f t="shared" ca="1" si="11"/>
        <v>0.54924979983070743</v>
      </c>
      <c r="C80" s="138">
        <f t="shared" ca="1" si="11"/>
        <v>0.36857251674666991</v>
      </c>
      <c r="D80" s="138">
        <f t="shared" ca="1" si="11"/>
        <v>0.54251428129439494</v>
      </c>
      <c r="E80" s="138">
        <f t="shared" ca="1" si="11"/>
        <v>0.48751244182071463</v>
      </c>
      <c r="F80" s="138">
        <f t="shared" ca="1" si="11"/>
        <v>0.79263341747831295</v>
      </c>
      <c r="G80">
        <f t="shared" si="3"/>
        <v>1</v>
      </c>
      <c r="H80">
        <f t="shared" ca="1" si="4"/>
        <v>1</v>
      </c>
      <c r="I80">
        <f t="shared" ca="1" si="5"/>
        <v>1</v>
      </c>
      <c r="J80">
        <f t="shared" ca="1" si="6"/>
        <v>1</v>
      </c>
      <c r="K80">
        <f t="shared" ca="1" si="7"/>
        <v>1</v>
      </c>
      <c r="L80">
        <f t="shared" ca="1" si="8"/>
        <v>1</v>
      </c>
      <c r="M80">
        <f t="shared" ca="1" si="9"/>
        <v>1</v>
      </c>
      <c r="N80">
        <f t="shared" ca="1" si="10"/>
        <v>1</v>
      </c>
    </row>
    <row r="81" spans="1:14" x14ac:dyDescent="0.3">
      <c r="A81">
        <v>54</v>
      </c>
      <c r="B81" s="138">
        <f t="shared" ca="1" si="11"/>
        <v>0.52403045342322463</v>
      </c>
      <c r="C81" s="138">
        <f t="shared" ca="1" si="11"/>
        <v>8.3473391737896585E-2</v>
      </c>
      <c r="D81" s="138">
        <f t="shared" ca="1" si="11"/>
        <v>0.45282513843018279</v>
      </c>
      <c r="E81" s="138">
        <f t="shared" ca="1" si="11"/>
        <v>0.19055454829708995</v>
      </c>
      <c r="F81" s="138">
        <f t="shared" ca="1" si="11"/>
        <v>0.59335198904066988</v>
      </c>
      <c r="G81">
        <f t="shared" si="3"/>
        <v>1</v>
      </c>
      <c r="H81">
        <f t="shared" ca="1" si="4"/>
        <v>1</v>
      </c>
      <c r="I81">
        <f t="shared" ca="1" si="5"/>
        <v>1</v>
      </c>
      <c r="J81">
        <f t="shared" ca="1" si="6"/>
        <v>1</v>
      </c>
      <c r="K81">
        <f t="shared" ca="1" si="7"/>
        <v>1</v>
      </c>
      <c r="L81">
        <f t="shared" ca="1" si="8"/>
        <v>1</v>
      </c>
      <c r="M81">
        <f t="shared" ca="1" si="9"/>
        <v>1</v>
      </c>
      <c r="N81">
        <f t="shared" ca="1" si="10"/>
        <v>1</v>
      </c>
    </row>
    <row r="82" spans="1:14" x14ac:dyDescent="0.3">
      <c r="A82">
        <v>55</v>
      </c>
      <c r="B82" s="138">
        <f t="shared" ca="1" si="11"/>
        <v>0.96557341308590039</v>
      </c>
      <c r="C82" s="138">
        <f t="shared" ca="1" si="11"/>
        <v>0.70080847334916641</v>
      </c>
      <c r="D82" s="138">
        <f t="shared" ca="1" si="11"/>
        <v>0.61751884277838143</v>
      </c>
      <c r="E82" s="138">
        <f t="shared" ca="1" si="11"/>
        <v>0.64798365784747991</v>
      </c>
      <c r="F82" s="138">
        <f t="shared" ca="1" si="11"/>
        <v>0.82435063481223414</v>
      </c>
      <c r="G82">
        <f t="shared" si="3"/>
        <v>1</v>
      </c>
      <c r="H82">
        <f t="shared" ca="1" si="4"/>
        <v>1</v>
      </c>
      <c r="I82">
        <f t="shared" ca="1" si="5"/>
        <v>1</v>
      </c>
      <c r="J82">
        <f t="shared" ca="1" si="6"/>
        <v>1</v>
      </c>
      <c r="K82">
        <f t="shared" ca="1" si="7"/>
        <v>1</v>
      </c>
      <c r="L82">
        <f t="shared" ca="1" si="8"/>
        <v>1</v>
      </c>
      <c r="M82">
        <f t="shared" ca="1" si="9"/>
        <v>1</v>
      </c>
      <c r="N82">
        <f t="shared" ca="1" si="10"/>
        <v>1</v>
      </c>
    </row>
    <row r="83" spans="1:14" x14ac:dyDescent="0.3">
      <c r="A83">
        <v>56</v>
      </c>
      <c r="B83" s="138">
        <f t="shared" ca="1" si="11"/>
        <v>0.86187648135674888</v>
      </c>
      <c r="C83" s="138">
        <f t="shared" ca="1" si="11"/>
        <v>0.36291404674443595</v>
      </c>
      <c r="D83" s="138">
        <f t="shared" ca="1" si="11"/>
        <v>0.23203618394256675</v>
      </c>
      <c r="E83" s="138">
        <f t="shared" ca="1" si="11"/>
        <v>0.40898008484384563</v>
      </c>
      <c r="F83" s="138">
        <f t="shared" ca="1" si="11"/>
        <v>0.55150456232427714</v>
      </c>
      <c r="G83">
        <f t="shared" si="3"/>
        <v>1</v>
      </c>
      <c r="H83">
        <f t="shared" ca="1" si="4"/>
        <v>1</v>
      </c>
      <c r="I83">
        <f t="shared" ca="1" si="5"/>
        <v>1</v>
      </c>
      <c r="J83">
        <f t="shared" ca="1" si="6"/>
        <v>1</v>
      </c>
      <c r="K83">
        <f t="shared" ca="1" si="7"/>
        <v>1</v>
      </c>
      <c r="L83">
        <f t="shared" ca="1" si="8"/>
        <v>1</v>
      </c>
      <c r="M83">
        <f t="shared" ca="1" si="9"/>
        <v>1</v>
      </c>
      <c r="N83">
        <f t="shared" ca="1" si="10"/>
        <v>1</v>
      </c>
    </row>
    <row r="84" spans="1:14" x14ac:dyDescent="0.3">
      <c r="A84">
        <v>57</v>
      </c>
      <c r="B84" s="138">
        <f t="shared" ca="1" si="11"/>
        <v>2.3215950504877902E-2</v>
      </c>
      <c r="C84" s="138">
        <f t="shared" ca="1" si="11"/>
        <v>0.58029559454159052</v>
      </c>
      <c r="D84" s="138">
        <f t="shared" ca="1" si="11"/>
        <v>0.54823214327305136</v>
      </c>
      <c r="E84" s="138">
        <f t="shared" ca="1" si="11"/>
        <v>0.61778733343978354</v>
      </c>
      <c r="F84" s="138">
        <f t="shared" ca="1" si="11"/>
        <v>0.71339096930548029</v>
      </c>
      <c r="G84">
        <f t="shared" si="3"/>
        <v>1</v>
      </c>
      <c r="H84">
        <f t="shared" ca="1" si="4"/>
        <v>1</v>
      </c>
      <c r="I84">
        <f t="shared" ca="1" si="5"/>
        <v>1</v>
      </c>
      <c r="J84">
        <f t="shared" ca="1" si="6"/>
        <v>1</v>
      </c>
      <c r="K84">
        <f t="shared" ca="1" si="7"/>
        <v>1</v>
      </c>
      <c r="L84">
        <f t="shared" ca="1" si="8"/>
        <v>1</v>
      </c>
      <c r="M84">
        <f t="shared" ca="1" si="9"/>
        <v>1</v>
      </c>
      <c r="N84">
        <f t="shared" ca="1" si="10"/>
        <v>1</v>
      </c>
    </row>
    <row r="85" spans="1:14" x14ac:dyDescent="0.3">
      <c r="A85">
        <v>58</v>
      </c>
      <c r="B85" s="138">
        <f t="shared" ca="1" si="11"/>
        <v>0.3652449150528414</v>
      </c>
      <c r="C85" s="138">
        <f t="shared" ca="1" si="11"/>
        <v>0.24058190748544606</v>
      </c>
      <c r="D85" s="138">
        <f t="shared" ca="1" si="11"/>
        <v>0.88659090684431119</v>
      </c>
      <c r="E85" s="138">
        <f t="shared" ca="1" si="11"/>
        <v>5.4487735719918384E-2</v>
      </c>
      <c r="F85" s="138">
        <f t="shared" ca="1" si="11"/>
        <v>0.84737086880993384</v>
      </c>
      <c r="G85">
        <f t="shared" si="3"/>
        <v>1</v>
      </c>
      <c r="H85">
        <f t="shared" ca="1" si="4"/>
        <v>1</v>
      </c>
      <c r="I85">
        <f t="shared" ca="1" si="5"/>
        <v>1</v>
      </c>
      <c r="J85">
        <f t="shared" ca="1" si="6"/>
        <v>1</v>
      </c>
      <c r="K85">
        <f t="shared" ca="1" si="7"/>
        <v>1</v>
      </c>
      <c r="L85">
        <f t="shared" ca="1" si="8"/>
        <v>1</v>
      </c>
      <c r="M85">
        <f t="shared" ca="1" si="9"/>
        <v>1</v>
      </c>
      <c r="N85">
        <f t="shared" ca="1" si="10"/>
        <v>1</v>
      </c>
    </row>
    <row r="86" spans="1:14" x14ac:dyDescent="0.3">
      <c r="A86">
        <v>59</v>
      </c>
      <c r="B86" s="138">
        <f t="shared" ca="1" si="11"/>
        <v>0.45284532987916404</v>
      </c>
      <c r="C86" s="138">
        <f t="shared" ca="1" si="11"/>
        <v>0.15664463848517962</v>
      </c>
      <c r="D86" s="138">
        <f t="shared" ca="1" si="11"/>
        <v>0.67130814006361506</v>
      </c>
      <c r="E86" s="138">
        <f t="shared" ca="1" si="11"/>
        <v>0.7410850643280662</v>
      </c>
      <c r="F86" s="138">
        <f t="shared" ca="1" si="11"/>
        <v>0.84835701843387568</v>
      </c>
      <c r="G86">
        <f t="shared" si="3"/>
        <v>1</v>
      </c>
      <c r="H86">
        <f t="shared" ca="1" si="4"/>
        <v>1</v>
      </c>
      <c r="I86">
        <f t="shared" ca="1" si="5"/>
        <v>1</v>
      </c>
      <c r="J86">
        <f t="shared" ca="1" si="6"/>
        <v>1</v>
      </c>
      <c r="K86">
        <f t="shared" ca="1" si="7"/>
        <v>1</v>
      </c>
      <c r="L86">
        <f t="shared" ca="1" si="8"/>
        <v>1</v>
      </c>
      <c r="M86">
        <f t="shared" ca="1" si="9"/>
        <v>1</v>
      </c>
      <c r="N86">
        <f t="shared" ca="1" si="10"/>
        <v>1</v>
      </c>
    </row>
    <row r="87" spans="1:14" x14ac:dyDescent="0.3">
      <c r="A87">
        <v>60</v>
      </c>
      <c r="B87" s="138">
        <f t="shared" ca="1" si="11"/>
        <v>0.10902810007950092</v>
      </c>
      <c r="C87" s="138">
        <f t="shared" ca="1" si="11"/>
        <v>0.3103115948409535</v>
      </c>
      <c r="D87" s="138">
        <f t="shared" ca="1" si="11"/>
        <v>0.62971996744872494</v>
      </c>
      <c r="E87" s="138">
        <f t="shared" ca="1" si="11"/>
        <v>0.99325858859166549</v>
      </c>
      <c r="F87" s="138">
        <f t="shared" ca="1" si="11"/>
        <v>0.33896349567687845</v>
      </c>
      <c r="G87">
        <f t="shared" si="3"/>
        <v>1</v>
      </c>
      <c r="H87">
        <f t="shared" ca="1" si="4"/>
        <v>1</v>
      </c>
      <c r="I87">
        <f t="shared" ca="1" si="5"/>
        <v>1</v>
      </c>
      <c r="J87">
        <f t="shared" ca="1" si="6"/>
        <v>1</v>
      </c>
      <c r="K87">
        <f t="shared" ca="1" si="7"/>
        <v>1</v>
      </c>
      <c r="L87">
        <f t="shared" ca="1" si="8"/>
        <v>1</v>
      </c>
      <c r="M87">
        <f t="shared" ca="1" si="9"/>
        <v>1</v>
      </c>
      <c r="N87">
        <f t="shared" ca="1" si="10"/>
        <v>1</v>
      </c>
    </row>
    <row r="88" spans="1:14" x14ac:dyDescent="0.3">
      <c r="A88">
        <v>61</v>
      </c>
      <c r="B88" s="138">
        <f t="shared" ca="1" si="11"/>
        <v>0.38925030757888734</v>
      </c>
      <c r="C88" s="138">
        <f t="shared" ca="1" si="11"/>
        <v>0.53448451153204557</v>
      </c>
      <c r="D88" s="138">
        <f t="shared" ca="1" si="11"/>
        <v>0.38913358896239791</v>
      </c>
      <c r="E88" s="138">
        <f t="shared" ca="1" si="11"/>
        <v>0.52767005312470261</v>
      </c>
      <c r="F88" s="138">
        <f t="shared" ca="1" si="11"/>
        <v>0.36756981303008551</v>
      </c>
      <c r="G88">
        <f t="shared" si="3"/>
        <v>1</v>
      </c>
      <c r="H88">
        <f t="shared" ca="1" si="4"/>
        <v>1</v>
      </c>
      <c r="I88">
        <f t="shared" ca="1" si="5"/>
        <v>1</v>
      </c>
      <c r="J88">
        <f t="shared" ca="1" si="6"/>
        <v>1</v>
      </c>
      <c r="K88">
        <f t="shared" ca="1" si="7"/>
        <v>1</v>
      </c>
      <c r="L88">
        <f t="shared" ca="1" si="8"/>
        <v>1</v>
      </c>
      <c r="M88">
        <f t="shared" ca="1" si="9"/>
        <v>1</v>
      </c>
      <c r="N88">
        <f t="shared" ca="1" si="10"/>
        <v>1</v>
      </c>
    </row>
    <row r="89" spans="1:14" x14ac:dyDescent="0.3">
      <c r="A89">
        <v>62</v>
      </c>
      <c r="B89" s="138">
        <f t="shared" ca="1" si="11"/>
        <v>0.21128165921345887</v>
      </c>
      <c r="C89" s="138">
        <f t="shared" ca="1" si="11"/>
        <v>0.65881701220154099</v>
      </c>
      <c r="D89" s="138">
        <f t="shared" ca="1" si="11"/>
        <v>0.24313332566308443</v>
      </c>
      <c r="E89" s="138">
        <f t="shared" ca="1" si="11"/>
        <v>0.59115608295614064</v>
      </c>
      <c r="F89" s="138">
        <f t="shared" ca="1" si="11"/>
        <v>0.1499261507059737</v>
      </c>
      <c r="G89">
        <f t="shared" si="3"/>
        <v>1</v>
      </c>
      <c r="H89">
        <f t="shared" ca="1" si="4"/>
        <v>1</v>
      </c>
      <c r="I89">
        <f t="shared" ca="1" si="5"/>
        <v>1</v>
      </c>
      <c r="J89">
        <f t="shared" ca="1" si="6"/>
        <v>1</v>
      </c>
      <c r="K89">
        <f t="shared" ca="1" si="7"/>
        <v>1</v>
      </c>
      <c r="L89">
        <f t="shared" ca="1" si="8"/>
        <v>1</v>
      </c>
      <c r="M89">
        <f t="shared" ca="1" si="9"/>
        <v>1</v>
      </c>
      <c r="N89">
        <f t="shared" ca="1" si="10"/>
        <v>1</v>
      </c>
    </row>
    <row r="90" spans="1:14" x14ac:dyDescent="0.3">
      <c r="A90">
        <v>63</v>
      </c>
      <c r="B90" s="138">
        <f t="shared" ca="1" si="11"/>
        <v>0.32110885265732292</v>
      </c>
      <c r="C90" s="138">
        <f t="shared" ca="1" si="11"/>
        <v>0.90178437888046503</v>
      </c>
      <c r="D90" s="138">
        <f t="shared" ca="1" si="11"/>
        <v>0.38744411460484596</v>
      </c>
      <c r="E90" s="138">
        <f t="shared" ca="1" si="11"/>
        <v>0.85410822851686752</v>
      </c>
      <c r="F90" s="138">
        <f t="shared" ca="1" si="11"/>
        <v>0.94089301983003826</v>
      </c>
      <c r="G90">
        <f t="shared" si="3"/>
        <v>1</v>
      </c>
      <c r="H90">
        <f t="shared" ca="1" si="4"/>
        <v>1</v>
      </c>
      <c r="I90">
        <f t="shared" ca="1" si="5"/>
        <v>1</v>
      </c>
      <c r="J90">
        <f t="shared" ca="1" si="6"/>
        <v>1</v>
      </c>
      <c r="K90">
        <f t="shared" ca="1" si="7"/>
        <v>1</v>
      </c>
      <c r="L90">
        <f t="shared" ca="1" si="8"/>
        <v>1</v>
      </c>
      <c r="M90">
        <f t="shared" ca="1" si="9"/>
        <v>1</v>
      </c>
      <c r="N90">
        <f t="shared" ca="1" si="10"/>
        <v>1</v>
      </c>
    </row>
    <row r="91" spans="1:14" x14ac:dyDescent="0.3">
      <c r="A91">
        <v>64</v>
      </c>
      <c r="B91" s="138">
        <f t="shared" ca="1" si="11"/>
        <v>3.7377729468296206E-2</v>
      </c>
      <c r="C91" s="138">
        <f t="shared" ca="1" si="11"/>
        <v>0.72448579739037955</v>
      </c>
      <c r="D91" s="138">
        <f t="shared" ca="1" si="11"/>
        <v>6.1156333787687478E-2</v>
      </c>
      <c r="E91" s="138">
        <f t="shared" ca="1" si="11"/>
        <v>0.33446592405156095</v>
      </c>
      <c r="F91" s="138">
        <f t="shared" ca="1" si="11"/>
        <v>0.85310784526862071</v>
      </c>
      <c r="G91">
        <f t="shared" si="3"/>
        <v>1</v>
      </c>
      <c r="H91">
        <f t="shared" ca="1" si="4"/>
        <v>1</v>
      </c>
      <c r="I91">
        <f t="shared" ca="1" si="5"/>
        <v>1</v>
      </c>
      <c r="J91">
        <f t="shared" ca="1" si="6"/>
        <v>1</v>
      </c>
      <c r="K91">
        <f t="shared" ca="1" si="7"/>
        <v>1</v>
      </c>
      <c r="L91">
        <f t="shared" ca="1" si="8"/>
        <v>1</v>
      </c>
      <c r="M91">
        <f t="shared" ca="1" si="9"/>
        <v>1</v>
      </c>
      <c r="N91">
        <f t="shared" ca="1" si="10"/>
        <v>1</v>
      </c>
    </row>
    <row r="92" spans="1:14" x14ac:dyDescent="0.3">
      <c r="A92">
        <v>65</v>
      </c>
      <c r="B92" s="138">
        <f t="shared" ca="1" si="11"/>
        <v>0.14750454563701576</v>
      </c>
      <c r="C92" s="138">
        <f t="shared" ca="1" si="11"/>
        <v>0.72591472309601712</v>
      </c>
      <c r="D92" s="138">
        <f t="shared" ca="1" si="11"/>
        <v>0.78411493495912232</v>
      </c>
      <c r="E92" s="138">
        <f t="shared" ca="1" si="11"/>
        <v>0.61090720778561225</v>
      </c>
      <c r="F92" s="138">
        <f t="shared" ca="1" si="11"/>
        <v>0.76157806726472876</v>
      </c>
      <c r="G92">
        <f t="shared" si="3"/>
        <v>1</v>
      </c>
      <c r="H92">
        <f t="shared" ca="1" si="4"/>
        <v>1</v>
      </c>
      <c r="I92">
        <f t="shared" ca="1" si="5"/>
        <v>1</v>
      </c>
      <c r="J92">
        <f t="shared" ca="1" si="6"/>
        <v>1</v>
      </c>
      <c r="K92">
        <f t="shared" ca="1" si="7"/>
        <v>1</v>
      </c>
      <c r="L92">
        <f t="shared" ca="1" si="8"/>
        <v>1</v>
      </c>
      <c r="M92">
        <f t="shared" ca="1" si="9"/>
        <v>1</v>
      </c>
      <c r="N92">
        <f t="shared" ca="1" si="10"/>
        <v>1</v>
      </c>
    </row>
    <row r="93" spans="1:14" x14ac:dyDescent="0.3">
      <c r="A93">
        <v>66</v>
      </c>
      <c r="B93" s="138">
        <f t="shared" ref="B93:F112" ca="1" si="12">RAND()</f>
        <v>0.91796479163744782</v>
      </c>
      <c r="C93" s="138">
        <f t="shared" ca="1" si="12"/>
        <v>0.13827802936612388</v>
      </c>
      <c r="D93" s="138">
        <f t="shared" ca="1" si="12"/>
        <v>0.17987890159407927</v>
      </c>
      <c r="E93" s="138">
        <f t="shared" ca="1" si="12"/>
        <v>0.8386768605232362</v>
      </c>
      <c r="F93" s="138">
        <f t="shared" ca="1" si="12"/>
        <v>0.76006711603452581</v>
      </c>
      <c r="G93">
        <f t="shared" ref="G93:G112" si="13">IF(A$5&gt;=A94,1,0)</f>
        <v>1</v>
      </c>
      <c r="H93">
        <f t="shared" ref="H93:H111" ca="1" si="14">IF(B$5&gt;=B94,1,0)</f>
        <v>1</v>
      </c>
      <c r="I93">
        <f t="shared" ref="I93:I112" ca="1" si="15">IF(C$5&gt;=C94,1,0)</f>
        <v>1</v>
      </c>
      <c r="J93">
        <f t="shared" ref="J93:J112" ca="1" si="16">IF(D$5&gt;=D94,1,0)</f>
        <v>1</v>
      </c>
      <c r="K93">
        <f t="shared" ref="K93:K112" ca="1" si="17">IF(E$5&gt;=E94,1,0)</f>
        <v>1</v>
      </c>
      <c r="L93">
        <f t="shared" ref="L93:L112" ca="1" si="18">--OR(G93, H93, I93)</f>
        <v>1</v>
      </c>
      <c r="M93">
        <f t="shared" ref="M93:M112" ca="1" si="19">--OR(J93,K93)</f>
        <v>1</v>
      </c>
      <c r="N93">
        <f t="shared" ref="N93:N112" ca="1" si="20">--AND(L93,M93)</f>
        <v>1</v>
      </c>
    </row>
    <row r="94" spans="1:14" x14ac:dyDescent="0.3">
      <c r="A94">
        <v>67</v>
      </c>
      <c r="B94" s="138">
        <f t="shared" ca="1" si="12"/>
        <v>0.44061266191378223</v>
      </c>
      <c r="C94" s="138">
        <f t="shared" ca="1" si="12"/>
        <v>0.20923231895904604</v>
      </c>
      <c r="D94" s="138">
        <f t="shared" ca="1" si="12"/>
        <v>0.39870745329370794</v>
      </c>
      <c r="E94" s="138">
        <f t="shared" ca="1" si="12"/>
        <v>0.88498067340206565</v>
      </c>
      <c r="F94" s="138">
        <f t="shared" ca="1" si="12"/>
        <v>0.32034169223916908</v>
      </c>
      <c r="G94">
        <f t="shared" si="13"/>
        <v>1</v>
      </c>
      <c r="H94">
        <f t="shared" ca="1" si="14"/>
        <v>1</v>
      </c>
      <c r="I94">
        <f t="shared" ca="1" si="15"/>
        <v>1</v>
      </c>
      <c r="J94">
        <f t="shared" ca="1" si="16"/>
        <v>1</v>
      </c>
      <c r="K94">
        <f t="shared" ca="1" si="17"/>
        <v>1</v>
      </c>
      <c r="L94">
        <f t="shared" ca="1" si="18"/>
        <v>1</v>
      </c>
      <c r="M94">
        <f t="shared" ca="1" si="19"/>
        <v>1</v>
      </c>
      <c r="N94">
        <f t="shared" ca="1" si="20"/>
        <v>1</v>
      </c>
    </row>
    <row r="95" spans="1:14" x14ac:dyDescent="0.3">
      <c r="A95">
        <v>68</v>
      </c>
      <c r="B95" s="138">
        <f t="shared" ca="1" si="12"/>
        <v>0.21025247915203893</v>
      </c>
      <c r="C95" s="138">
        <f t="shared" ca="1" si="12"/>
        <v>0.14238445873928074</v>
      </c>
      <c r="D95" s="138">
        <f t="shared" ca="1" si="12"/>
        <v>0.97432537521936424</v>
      </c>
      <c r="E95" s="138">
        <f t="shared" ca="1" si="12"/>
        <v>0.43431394168563286</v>
      </c>
      <c r="F95" s="138">
        <f t="shared" ca="1" si="12"/>
        <v>0.86976702782177129</v>
      </c>
      <c r="G95">
        <f t="shared" si="13"/>
        <v>1</v>
      </c>
      <c r="H95">
        <f t="shared" ca="1" si="14"/>
        <v>1</v>
      </c>
      <c r="I95">
        <f t="shared" ca="1" si="15"/>
        <v>1</v>
      </c>
      <c r="J95">
        <f t="shared" ca="1" si="16"/>
        <v>1</v>
      </c>
      <c r="K95">
        <f t="shared" ca="1" si="17"/>
        <v>1</v>
      </c>
      <c r="L95">
        <f t="shared" ca="1" si="18"/>
        <v>1</v>
      </c>
      <c r="M95">
        <f t="shared" ca="1" si="19"/>
        <v>1</v>
      </c>
      <c r="N95">
        <f t="shared" ca="1" si="20"/>
        <v>1</v>
      </c>
    </row>
    <row r="96" spans="1:14" x14ac:dyDescent="0.3">
      <c r="A96">
        <v>69</v>
      </c>
      <c r="B96" s="138">
        <f t="shared" ca="1" si="12"/>
        <v>0.86534640737347501</v>
      </c>
      <c r="C96" s="138">
        <f t="shared" ca="1" si="12"/>
        <v>0.74615520907522004</v>
      </c>
      <c r="D96" s="138">
        <f t="shared" ca="1" si="12"/>
        <v>0.29774651327592228</v>
      </c>
      <c r="E96" s="138">
        <f t="shared" ca="1" si="12"/>
        <v>0.97252629746868513</v>
      </c>
      <c r="F96" s="138">
        <f t="shared" ca="1" si="12"/>
        <v>0.88525915385768017</v>
      </c>
      <c r="G96">
        <f t="shared" si="13"/>
        <v>1</v>
      </c>
      <c r="H96">
        <f t="shared" ca="1" si="14"/>
        <v>1</v>
      </c>
      <c r="I96">
        <f t="shared" ca="1" si="15"/>
        <v>1</v>
      </c>
      <c r="J96">
        <f t="shared" ca="1" si="16"/>
        <v>1</v>
      </c>
      <c r="K96">
        <f t="shared" ca="1" si="17"/>
        <v>1</v>
      </c>
      <c r="L96">
        <f t="shared" ca="1" si="18"/>
        <v>1</v>
      </c>
      <c r="M96">
        <f t="shared" ca="1" si="19"/>
        <v>1</v>
      </c>
      <c r="N96">
        <f t="shared" ca="1" si="20"/>
        <v>1</v>
      </c>
    </row>
    <row r="97" spans="1:14" x14ac:dyDescent="0.3">
      <c r="A97">
        <v>70</v>
      </c>
      <c r="B97" s="138">
        <f t="shared" ca="1" si="12"/>
        <v>0.13857932572148768</v>
      </c>
      <c r="C97" s="138">
        <f t="shared" ca="1" si="12"/>
        <v>0.15564985211824944</v>
      </c>
      <c r="D97" s="138">
        <f t="shared" ca="1" si="12"/>
        <v>0.92872471236156495</v>
      </c>
      <c r="E97" s="138">
        <f t="shared" ca="1" si="12"/>
        <v>0.39972822450924239</v>
      </c>
      <c r="F97" s="138">
        <f t="shared" ca="1" si="12"/>
        <v>0.86305692323204342</v>
      </c>
      <c r="G97">
        <f t="shared" si="13"/>
        <v>1</v>
      </c>
      <c r="H97">
        <f t="shared" ca="1" si="14"/>
        <v>1</v>
      </c>
      <c r="I97">
        <f t="shared" ca="1" si="15"/>
        <v>1</v>
      </c>
      <c r="J97">
        <f t="shared" ca="1" si="16"/>
        <v>1</v>
      </c>
      <c r="K97">
        <f t="shared" ca="1" si="17"/>
        <v>1</v>
      </c>
      <c r="L97">
        <f t="shared" ca="1" si="18"/>
        <v>1</v>
      </c>
      <c r="M97">
        <f t="shared" ca="1" si="19"/>
        <v>1</v>
      </c>
      <c r="N97">
        <f t="shared" ca="1" si="20"/>
        <v>1</v>
      </c>
    </row>
    <row r="98" spans="1:14" x14ac:dyDescent="0.3">
      <c r="A98">
        <v>71</v>
      </c>
      <c r="B98" s="138">
        <f t="shared" ca="1" si="12"/>
        <v>0.98941427878036214</v>
      </c>
      <c r="C98" s="138">
        <f t="shared" ca="1" si="12"/>
        <v>0.20517521585658882</v>
      </c>
      <c r="D98" s="138">
        <f t="shared" ca="1" si="12"/>
        <v>0.99353541327021622</v>
      </c>
      <c r="E98" s="138">
        <f t="shared" ca="1" si="12"/>
        <v>0.72655394654488981</v>
      </c>
      <c r="F98" s="138">
        <f t="shared" ca="1" si="12"/>
        <v>3.9078220220270632E-2</v>
      </c>
      <c r="G98">
        <f t="shared" si="13"/>
        <v>1</v>
      </c>
      <c r="H98">
        <f t="shared" ca="1" si="14"/>
        <v>1</v>
      </c>
      <c r="I98">
        <f t="shared" ca="1" si="15"/>
        <v>1</v>
      </c>
      <c r="J98">
        <f t="shared" ca="1" si="16"/>
        <v>1</v>
      </c>
      <c r="K98">
        <f t="shared" ca="1" si="17"/>
        <v>1</v>
      </c>
      <c r="L98">
        <f t="shared" ca="1" si="18"/>
        <v>1</v>
      </c>
      <c r="M98">
        <f t="shared" ca="1" si="19"/>
        <v>1</v>
      </c>
      <c r="N98">
        <f t="shared" ca="1" si="20"/>
        <v>1</v>
      </c>
    </row>
    <row r="99" spans="1:14" x14ac:dyDescent="0.3">
      <c r="A99">
        <v>72</v>
      </c>
      <c r="B99" s="138">
        <f t="shared" ca="1" si="12"/>
        <v>0.28573036563839804</v>
      </c>
      <c r="C99" s="138">
        <f t="shared" ca="1" si="12"/>
        <v>0.10117794078230347</v>
      </c>
      <c r="D99" s="138">
        <f t="shared" ca="1" si="12"/>
        <v>0.10655956652449394</v>
      </c>
      <c r="E99" s="138">
        <f t="shared" ca="1" si="12"/>
        <v>0.35110438694381652</v>
      </c>
      <c r="F99" s="138">
        <f t="shared" ca="1" si="12"/>
        <v>0.80301683226520248</v>
      </c>
      <c r="G99">
        <f t="shared" si="13"/>
        <v>1</v>
      </c>
      <c r="H99">
        <f t="shared" ca="1" si="14"/>
        <v>1</v>
      </c>
      <c r="I99">
        <f t="shared" ca="1" si="15"/>
        <v>1</v>
      </c>
      <c r="J99">
        <f t="shared" ca="1" si="16"/>
        <v>1</v>
      </c>
      <c r="K99">
        <f t="shared" ca="1" si="17"/>
        <v>1</v>
      </c>
      <c r="L99">
        <f t="shared" ca="1" si="18"/>
        <v>1</v>
      </c>
      <c r="M99">
        <f t="shared" ca="1" si="19"/>
        <v>1</v>
      </c>
      <c r="N99">
        <f t="shared" ca="1" si="20"/>
        <v>1</v>
      </c>
    </row>
    <row r="100" spans="1:14" x14ac:dyDescent="0.3">
      <c r="A100">
        <v>73</v>
      </c>
      <c r="B100" s="138">
        <f t="shared" ca="1" si="12"/>
        <v>5.2267959701890576E-2</v>
      </c>
      <c r="C100" s="138">
        <f t="shared" ca="1" si="12"/>
        <v>0.36165814978222333</v>
      </c>
      <c r="D100" s="138">
        <f t="shared" ca="1" si="12"/>
        <v>0.67901966210280928</v>
      </c>
      <c r="E100" s="138">
        <f t="shared" ca="1" si="12"/>
        <v>0.60663504104079813</v>
      </c>
      <c r="F100" s="138">
        <f t="shared" ca="1" si="12"/>
        <v>0.17800607630516252</v>
      </c>
      <c r="G100">
        <f t="shared" si="13"/>
        <v>1</v>
      </c>
      <c r="H100">
        <f t="shared" ca="1" si="14"/>
        <v>1</v>
      </c>
      <c r="I100">
        <f t="shared" ca="1" si="15"/>
        <v>1</v>
      </c>
      <c r="J100">
        <f t="shared" ca="1" si="16"/>
        <v>1</v>
      </c>
      <c r="K100">
        <f t="shared" ca="1" si="17"/>
        <v>1</v>
      </c>
      <c r="L100">
        <f t="shared" ca="1" si="18"/>
        <v>1</v>
      </c>
      <c r="M100">
        <f t="shared" ca="1" si="19"/>
        <v>1</v>
      </c>
      <c r="N100">
        <f t="shared" ca="1" si="20"/>
        <v>1</v>
      </c>
    </row>
    <row r="101" spans="1:14" x14ac:dyDescent="0.3">
      <c r="A101">
        <v>74</v>
      </c>
      <c r="B101" s="138">
        <f t="shared" ca="1" si="12"/>
        <v>0.86789077162881079</v>
      </c>
      <c r="C101" s="138">
        <f t="shared" ca="1" si="12"/>
        <v>0.34803707308566989</v>
      </c>
      <c r="D101" s="138">
        <f t="shared" ca="1" si="12"/>
        <v>0.99053612092508114</v>
      </c>
      <c r="E101" s="138">
        <f t="shared" ca="1" si="12"/>
        <v>6.6620418655632729E-2</v>
      </c>
      <c r="F101" s="138">
        <f t="shared" ca="1" si="12"/>
        <v>4.7167964864142875E-2</v>
      </c>
      <c r="G101">
        <f t="shared" si="13"/>
        <v>1</v>
      </c>
      <c r="H101">
        <f t="shared" ca="1" si="14"/>
        <v>1</v>
      </c>
      <c r="I101">
        <f t="shared" ca="1" si="15"/>
        <v>1</v>
      </c>
      <c r="J101">
        <f t="shared" ca="1" si="16"/>
        <v>1</v>
      </c>
      <c r="K101">
        <f t="shared" ca="1" si="17"/>
        <v>1</v>
      </c>
      <c r="L101">
        <f t="shared" ca="1" si="18"/>
        <v>1</v>
      </c>
      <c r="M101">
        <f t="shared" ca="1" si="19"/>
        <v>1</v>
      </c>
      <c r="N101">
        <f t="shared" ca="1" si="20"/>
        <v>1</v>
      </c>
    </row>
    <row r="102" spans="1:14" x14ac:dyDescent="0.3">
      <c r="A102">
        <v>75</v>
      </c>
      <c r="B102" s="138">
        <f t="shared" ca="1" si="12"/>
        <v>0.83170877207455396</v>
      </c>
      <c r="C102" s="138">
        <f t="shared" ca="1" si="12"/>
        <v>0.6402997015389994</v>
      </c>
      <c r="D102" s="138">
        <f t="shared" ca="1" si="12"/>
        <v>0.87669497372129734</v>
      </c>
      <c r="E102" s="138">
        <f t="shared" ca="1" si="12"/>
        <v>0.46758768697036868</v>
      </c>
      <c r="F102" s="138">
        <f t="shared" ca="1" si="12"/>
        <v>0.27918334925378097</v>
      </c>
      <c r="G102">
        <f t="shared" si="13"/>
        <v>1</v>
      </c>
      <c r="H102">
        <f t="shared" ca="1" si="14"/>
        <v>1</v>
      </c>
      <c r="I102">
        <f t="shared" ca="1" si="15"/>
        <v>1</v>
      </c>
      <c r="J102">
        <f t="shared" ca="1" si="16"/>
        <v>1</v>
      </c>
      <c r="K102">
        <f t="shared" ca="1" si="17"/>
        <v>1</v>
      </c>
      <c r="L102">
        <f t="shared" ca="1" si="18"/>
        <v>1</v>
      </c>
      <c r="M102">
        <f t="shared" ca="1" si="19"/>
        <v>1</v>
      </c>
      <c r="N102">
        <f t="shared" ca="1" si="20"/>
        <v>1</v>
      </c>
    </row>
    <row r="103" spans="1:14" x14ac:dyDescent="0.3">
      <c r="A103">
        <v>76</v>
      </c>
      <c r="B103" s="138">
        <f t="shared" ca="1" si="12"/>
        <v>0.66800078835633103</v>
      </c>
      <c r="C103" s="138">
        <f t="shared" ca="1" si="12"/>
        <v>0.90287899333939459</v>
      </c>
      <c r="D103" s="138">
        <f t="shared" ca="1" si="12"/>
        <v>0.38500289985473324</v>
      </c>
      <c r="E103" s="138">
        <f t="shared" ca="1" si="12"/>
        <v>0.61889492789561174</v>
      </c>
      <c r="F103" s="138">
        <f t="shared" ca="1" si="12"/>
        <v>0.37085762477855533</v>
      </c>
      <c r="G103">
        <f t="shared" si="13"/>
        <v>1</v>
      </c>
      <c r="H103">
        <f t="shared" ca="1" si="14"/>
        <v>1</v>
      </c>
      <c r="I103">
        <f t="shared" ca="1" si="15"/>
        <v>1</v>
      </c>
      <c r="J103">
        <f t="shared" ca="1" si="16"/>
        <v>1</v>
      </c>
      <c r="K103">
        <f t="shared" ca="1" si="17"/>
        <v>1</v>
      </c>
      <c r="L103">
        <f t="shared" ca="1" si="18"/>
        <v>1</v>
      </c>
      <c r="M103">
        <f t="shared" ca="1" si="19"/>
        <v>1</v>
      </c>
      <c r="N103">
        <f t="shared" ca="1" si="20"/>
        <v>1</v>
      </c>
    </row>
    <row r="104" spans="1:14" x14ac:dyDescent="0.3">
      <c r="A104">
        <v>77</v>
      </c>
      <c r="B104" s="138">
        <f t="shared" ca="1" si="12"/>
        <v>0.57741219331752125</v>
      </c>
      <c r="C104" s="138">
        <f t="shared" ca="1" si="12"/>
        <v>8.7851914243130991E-2</v>
      </c>
      <c r="D104" s="138">
        <f t="shared" ca="1" si="12"/>
        <v>0.24894145990795269</v>
      </c>
      <c r="E104" s="138">
        <f t="shared" ca="1" si="12"/>
        <v>0.5544462732978499</v>
      </c>
      <c r="F104" s="138">
        <f t="shared" ca="1" si="12"/>
        <v>0.54594009639001873</v>
      </c>
      <c r="G104">
        <f t="shared" si="13"/>
        <v>1</v>
      </c>
      <c r="H104">
        <f t="shared" ca="1" si="14"/>
        <v>1</v>
      </c>
      <c r="I104">
        <f t="shared" ca="1" si="15"/>
        <v>1</v>
      </c>
      <c r="J104">
        <f t="shared" ca="1" si="16"/>
        <v>1</v>
      </c>
      <c r="K104">
        <f t="shared" ca="1" si="17"/>
        <v>1</v>
      </c>
      <c r="L104">
        <f t="shared" ca="1" si="18"/>
        <v>1</v>
      </c>
      <c r="M104">
        <f t="shared" ca="1" si="19"/>
        <v>1</v>
      </c>
      <c r="N104">
        <f t="shared" ca="1" si="20"/>
        <v>1</v>
      </c>
    </row>
    <row r="105" spans="1:14" x14ac:dyDescent="0.3">
      <c r="A105">
        <v>78</v>
      </c>
      <c r="B105" s="138">
        <f t="shared" ca="1" si="12"/>
        <v>0.81824893831871237</v>
      </c>
      <c r="C105" s="138">
        <f t="shared" ca="1" si="12"/>
        <v>0.61902362181118709</v>
      </c>
      <c r="D105" s="138">
        <f t="shared" ca="1" si="12"/>
        <v>0.3269467557349538</v>
      </c>
      <c r="E105" s="138">
        <f t="shared" ca="1" si="12"/>
        <v>0.96669927428659308</v>
      </c>
      <c r="F105" s="138">
        <f t="shared" ca="1" si="12"/>
        <v>0.44117861541307202</v>
      </c>
      <c r="G105">
        <f t="shared" si="13"/>
        <v>1</v>
      </c>
      <c r="H105">
        <f t="shared" ca="1" si="14"/>
        <v>1</v>
      </c>
      <c r="I105">
        <f t="shared" ca="1" si="15"/>
        <v>1</v>
      </c>
      <c r="J105">
        <f t="shared" ca="1" si="16"/>
        <v>1</v>
      </c>
      <c r="K105">
        <f t="shared" ca="1" si="17"/>
        <v>1</v>
      </c>
      <c r="L105">
        <f t="shared" ca="1" si="18"/>
        <v>1</v>
      </c>
      <c r="M105">
        <f t="shared" ca="1" si="19"/>
        <v>1</v>
      </c>
      <c r="N105">
        <f t="shared" ca="1" si="20"/>
        <v>1</v>
      </c>
    </row>
    <row r="106" spans="1:14" x14ac:dyDescent="0.3">
      <c r="A106">
        <v>79</v>
      </c>
      <c r="B106" s="138">
        <f t="shared" ca="1" si="12"/>
        <v>0.78390121156573778</v>
      </c>
      <c r="C106" s="138">
        <f t="shared" ca="1" si="12"/>
        <v>0.90814767861508294</v>
      </c>
      <c r="D106" s="138">
        <f t="shared" ca="1" si="12"/>
        <v>0.99903670300077718</v>
      </c>
      <c r="E106" s="138">
        <f t="shared" ca="1" si="12"/>
        <v>0.10401652941790951</v>
      </c>
      <c r="F106" s="138">
        <f t="shared" ca="1" si="12"/>
        <v>0.33138857741649308</v>
      </c>
      <c r="G106">
        <f t="shared" si="13"/>
        <v>1</v>
      </c>
      <c r="H106">
        <f t="shared" ca="1" si="14"/>
        <v>1</v>
      </c>
      <c r="I106">
        <f t="shared" ca="1" si="15"/>
        <v>1</v>
      </c>
      <c r="J106">
        <f t="shared" ca="1" si="16"/>
        <v>1</v>
      </c>
      <c r="K106">
        <f t="shared" ca="1" si="17"/>
        <v>1</v>
      </c>
      <c r="L106">
        <f t="shared" ca="1" si="18"/>
        <v>1</v>
      </c>
      <c r="M106">
        <f t="shared" ca="1" si="19"/>
        <v>1</v>
      </c>
      <c r="N106">
        <f t="shared" ca="1" si="20"/>
        <v>1</v>
      </c>
    </row>
    <row r="107" spans="1:14" x14ac:dyDescent="0.3">
      <c r="A107">
        <v>80</v>
      </c>
      <c r="B107" s="138">
        <f t="shared" ca="1" si="12"/>
        <v>0.82278097506269698</v>
      </c>
      <c r="C107" s="138">
        <f t="shared" ca="1" si="12"/>
        <v>0.35080099724382174</v>
      </c>
      <c r="D107" s="138">
        <f t="shared" ca="1" si="12"/>
        <v>0.13397102529706728</v>
      </c>
      <c r="E107" s="138">
        <f t="shared" ca="1" si="12"/>
        <v>0.63515788146548768</v>
      </c>
      <c r="F107" s="138">
        <f t="shared" ca="1" si="12"/>
        <v>0.28804034663534683</v>
      </c>
      <c r="G107">
        <f t="shared" si="13"/>
        <v>1</v>
      </c>
      <c r="H107">
        <f t="shared" ca="1" si="14"/>
        <v>1</v>
      </c>
      <c r="I107">
        <f t="shared" ca="1" si="15"/>
        <v>1</v>
      </c>
      <c r="J107">
        <f t="shared" ca="1" si="16"/>
        <v>1</v>
      </c>
      <c r="K107">
        <f t="shared" ca="1" si="17"/>
        <v>1</v>
      </c>
      <c r="L107">
        <f t="shared" ca="1" si="18"/>
        <v>1</v>
      </c>
      <c r="M107">
        <f t="shared" ca="1" si="19"/>
        <v>1</v>
      </c>
      <c r="N107">
        <f t="shared" ca="1" si="20"/>
        <v>1</v>
      </c>
    </row>
    <row r="108" spans="1:14" x14ac:dyDescent="0.3">
      <c r="A108">
        <v>81</v>
      </c>
      <c r="B108" s="138">
        <f t="shared" ca="1" si="12"/>
        <v>0.96107425575505223</v>
      </c>
      <c r="C108" s="138">
        <f t="shared" ca="1" si="12"/>
        <v>0.77559860348509924</v>
      </c>
      <c r="D108" s="138">
        <f t="shared" ca="1" si="12"/>
        <v>0.44304641509464193</v>
      </c>
      <c r="E108" s="138">
        <f t="shared" ca="1" si="12"/>
        <v>0.24894685660728511</v>
      </c>
      <c r="F108" s="138">
        <f t="shared" ca="1" si="12"/>
        <v>0.41897663238638261</v>
      </c>
      <c r="G108">
        <f t="shared" si="13"/>
        <v>1</v>
      </c>
      <c r="H108">
        <f t="shared" ca="1" si="14"/>
        <v>1</v>
      </c>
      <c r="I108">
        <f t="shared" ca="1" si="15"/>
        <v>1</v>
      </c>
      <c r="J108">
        <f t="shared" ca="1" si="16"/>
        <v>1</v>
      </c>
      <c r="K108">
        <f t="shared" ca="1" si="17"/>
        <v>1</v>
      </c>
      <c r="L108">
        <f t="shared" ca="1" si="18"/>
        <v>1</v>
      </c>
      <c r="M108">
        <f t="shared" ca="1" si="19"/>
        <v>1</v>
      </c>
      <c r="N108">
        <f t="shared" ca="1" si="20"/>
        <v>1</v>
      </c>
    </row>
    <row r="109" spans="1:14" x14ac:dyDescent="0.3">
      <c r="A109">
        <v>82</v>
      </c>
      <c r="B109" s="138">
        <f t="shared" ca="1" si="12"/>
        <v>0.68694176161418985</v>
      </c>
      <c r="C109" s="138">
        <f t="shared" ca="1" si="12"/>
        <v>0.40418357096618418</v>
      </c>
      <c r="D109" s="138">
        <f t="shared" ca="1" si="12"/>
        <v>0.20327215110581054</v>
      </c>
      <c r="E109" s="138">
        <f t="shared" ca="1" si="12"/>
        <v>0.13224428724260318</v>
      </c>
      <c r="F109" s="138">
        <f t="shared" ca="1" si="12"/>
        <v>0.32977386814694798</v>
      </c>
      <c r="G109">
        <f t="shared" si="13"/>
        <v>1</v>
      </c>
      <c r="H109">
        <f t="shared" ca="1" si="14"/>
        <v>1</v>
      </c>
      <c r="I109">
        <f t="shared" ca="1" si="15"/>
        <v>1</v>
      </c>
      <c r="J109">
        <f t="shared" ca="1" si="16"/>
        <v>1</v>
      </c>
      <c r="K109">
        <f t="shared" ca="1" si="17"/>
        <v>1</v>
      </c>
      <c r="L109">
        <f t="shared" ca="1" si="18"/>
        <v>1</v>
      </c>
      <c r="M109">
        <f t="shared" ca="1" si="19"/>
        <v>1</v>
      </c>
      <c r="N109">
        <f t="shared" ca="1" si="20"/>
        <v>1</v>
      </c>
    </row>
    <row r="110" spans="1:14" x14ac:dyDescent="0.3">
      <c r="A110">
        <v>83</v>
      </c>
      <c r="B110" s="138">
        <f t="shared" ca="1" si="12"/>
        <v>0.99153248551845663</v>
      </c>
      <c r="C110" s="138">
        <f t="shared" ca="1" si="12"/>
        <v>0.31646682794151437</v>
      </c>
      <c r="D110" s="138">
        <f t="shared" ca="1" si="12"/>
        <v>0.65037803733386779</v>
      </c>
      <c r="E110" s="138">
        <f t="shared" ca="1" si="12"/>
        <v>0.13770761911336293</v>
      </c>
      <c r="F110" s="138">
        <f t="shared" ca="1" si="12"/>
        <v>0.38558020120034542</v>
      </c>
      <c r="G110">
        <f t="shared" si="13"/>
        <v>1</v>
      </c>
      <c r="H110">
        <f t="shared" ca="1" si="14"/>
        <v>1</v>
      </c>
      <c r="I110">
        <f ca="1">IF(C$5&gt;=C111,1,0)</f>
        <v>1</v>
      </c>
      <c r="J110">
        <f t="shared" ca="1" si="16"/>
        <v>1</v>
      </c>
      <c r="K110">
        <f t="shared" ca="1" si="17"/>
        <v>1</v>
      </c>
      <c r="L110">
        <f t="shared" ca="1" si="18"/>
        <v>1</v>
      </c>
      <c r="M110">
        <f t="shared" ca="1" si="19"/>
        <v>1</v>
      </c>
      <c r="N110">
        <f t="shared" ca="1" si="20"/>
        <v>1</v>
      </c>
    </row>
    <row r="111" spans="1:14" x14ac:dyDescent="0.3">
      <c r="A111">
        <v>84</v>
      </c>
      <c r="B111" s="138">
        <f t="shared" ca="1" si="12"/>
        <v>0.35717942822149651</v>
      </c>
      <c r="C111" s="138">
        <f t="shared" ca="1" si="12"/>
        <v>0.67367316402654676</v>
      </c>
      <c r="D111" s="138">
        <f t="shared" ca="1" si="12"/>
        <v>0.62309936986093117</v>
      </c>
      <c r="E111" s="138">
        <f t="shared" ca="1" si="12"/>
        <v>0.86567095566759134</v>
      </c>
      <c r="F111" s="138">
        <f t="shared" ca="1" si="12"/>
        <v>0.3057565210259594</v>
      </c>
      <c r="G111">
        <f t="shared" si="13"/>
        <v>1</v>
      </c>
      <c r="H111">
        <f t="shared" ca="1" si="14"/>
        <v>1</v>
      </c>
      <c r="I111">
        <f t="shared" ca="1" si="15"/>
        <v>1</v>
      </c>
      <c r="J111">
        <f t="shared" ca="1" si="16"/>
        <v>1</v>
      </c>
      <c r="K111">
        <f ca="1">IF(E$5&gt;=E112,1,0)</f>
        <v>1</v>
      </c>
      <c r="L111">
        <f t="shared" ca="1" si="18"/>
        <v>1</v>
      </c>
      <c r="M111">
        <f t="shared" ca="1" si="19"/>
        <v>1</v>
      </c>
      <c r="N111">
        <f t="shared" ca="1" si="20"/>
        <v>1</v>
      </c>
    </row>
    <row r="112" spans="1:14" x14ac:dyDescent="0.3">
      <c r="A112">
        <v>85</v>
      </c>
      <c r="B112" s="138">
        <f t="shared" ca="1" si="12"/>
        <v>0.86711479997206786</v>
      </c>
      <c r="C112" s="138">
        <f t="shared" ca="1" si="12"/>
        <v>0.91518406608645264</v>
      </c>
      <c r="D112" s="138">
        <f t="shared" ca="1" si="12"/>
        <v>0.70212920857137184</v>
      </c>
      <c r="E112" s="138">
        <f t="shared" ca="1" si="12"/>
        <v>0.31248241494301787</v>
      </c>
      <c r="F112" s="138">
        <f t="shared" ca="1" si="12"/>
        <v>0.16474829446879813</v>
      </c>
      <c r="G112">
        <f t="shared" si="13"/>
        <v>1</v>
      </c>
      <c r="H112">
        <f>IF(B$5&gt;=B113,1,0)</f>
        <v>1</v>
      </c>
      <c r="I112">
        <f t="shared" si="15"/>
        <v>1</v>
      </c>
      <c r="J112">
        <f t="shared" si="16"/>
        <v>1</v>
      </c>
      <c r="K112">
        <f t="shared" si="17"/>
        <v>1</v>
      </c>
      <c r="L112">
        <f t="shared" si="18"/>
        <v>1</v>
      </c>
      <c r="M112">
        <f t="shared" si="19"/>
        <v>1</v>
      </c>
      <c r="N112">
        <f t="shared" si="20"/>
        <v>1</v>
      </c>
    </row>
    <row r="113" spans="1:9" x14ac:dyDescent="0.3">
      <c r="B113" s="138"/>
      <c r="C113" s="138"/>
      <c r="D113" s="138"/>
      <c r="E113" s="138"/>
    </row>
    <row r="114" spans="1:9" x14ac:dyDescent="0.3">
      <c r="B114" s="138"/>
      <c r="C114" s="138"/>
      <c r="D114" s="138"/>
      <c r="E114" s="138"/>
    </row>
    <row r="115" spans="1:9" x14ac:dyDescent="0.3">
      <c r="B115" s="138"/>
      <c r="C115" s="138"/>
      <c r="D115" s="138"/>
      <c r="E115" s="138"/>
    </row>
    <row r="116" spans="1:9" ht="21" x14ac:dyDescent="0.5">
      <c r="A116" s="297" t="s">
        <v>280</v>
      </c>
      <c r="B116" s="297"/>
      <c r="C116" s="297"/>
      <c r="D116" s="297"/>
      <c r="E116" s="297"/>
      <c r="F116" s="297"/>
      <c r="G116" s="135" t="s">
        <v>273</v>
      </c>
      <c r="H116" s="301">
        <f ca="1">H117/H118</f>
        <v>1</v>
      </c>
      <c r="I116" s="301"/>
    </row>
    <row r="117" spans="1:9" ht="15" x14ac:dyDescent="0.3">
      <c r="A117" s="297" t="s">
        <v>271</v>
      </c>
      <c r="B117" s="297"/>
      <c r="C117" s="297"/>
      <c r="D117" s="297"/>
      <c r="E117" s="297"/>
      <c r="F117" s="297"/>
      <c r="G117" s="135" t="s">
        <v>273</v>
      </c>
      <c r="H117" s="177">
        <f ca="1">COUNTIF(N28:N112,1)</f>
        <v>85</v>
      </c>
      <c r="I117" s="177"/>
    </row>
    <row r="118" spans="1:9" ht="15" x14ac:dyDescent="0.3">
      <c r="A118" s="297" t="s">
        <v>272</v>
      </c>
      <c r="B118" s="297"/>
      <c r="C118" s="297"/>
      <c r="D118" s="297"/>
      <c r="E118" s="297"/>
      <c r="F118" s="297"/>
      <c r="G118" s="135" t="s">
        <v>273</v>
      </c>
      <c r="H118" s="302">
        <f ca="1">COUNT(N28:N112)</f>
        <v>85</v>
      </c>
      <c r="I118" s="302"/>
    </row>
    <row r="119" spans="1:9" x14ac:dyDescent="0.3">
      <c r="C119" s="138"/>
      <c r="D119" s="138"/>
      <c r="E119" s="138"/>
    </row>
    <row r="120" spans="1:9" x14ac:dyDescent="0.3">
      <c r="C120" s="138"/>
      <c r="D120" s="138"/>
      <c r="E120" s="138"/>
    </row>
    <row r="121" spans="1:9" x14ac:dyDescent="0.3">
      <c r="B121" s="138"/>
      <c r="C121" s="138"/>
      <c r="D121" s="138"/>
      <c r="E121" s="138"/>
    </row>
    <row r="122" spans="1:9" x14ac:dyDescent="0.3">
      <c r="B122" s="138"/>
      <c r="C122" s="138"/>
      <c r="D122" s="138"/>
      <c r="E122" s="138"/>
    </row>
    <row r="123" spans="1:9" x14ac:dyDescent="0.3">
      <c r="A123" s="298" t="s">
        <v>275</v>
      </c>
      <c r="B123" s="298"/>
      <c r="C123" s="298"/>
      <c r="D123" s="298"/>
      <c r="E123" s="298"/>
      <c r="F123" s="298"/>
      <c r="G123" s="298"/>
      <c r="H123" s="298"/>
      <c r="I123" s="298"/>
    </row>
    <row r="124" spans="1:9" x14ac:dyDescent="0.3">
      <c r="A124" s="298"/>
      <c r="B124" s="298"/>
      <c r="C124" s="298"/>
      <c r="D124" s="298"/>
      <c r="E124" s="298"/>
      <c r="F124" s="298"/>
      <c r="G124" s="298"/>
      <c r="H124" s="298"/>
      <c r="I124" s="298"/>
    </row>
    <row r="125" spans="1:9" x14ac:dyDescent="0.3">
      <c r="B125" t="s">
        <v>277</v>
      </c>
      <c r="C125" s="138" t="s">
        <v>278</v>
      </c>
      <c r="E125" s="138"/>
    </row>
    <row r="126" spans="1:9" x14ac:dyDescent="0.3">
      <c r="B126">
        <v>0.93943600000000005</v>
      </c>
      <c r="C126" s="138">
        <f ca="1">H116</f>
        <v>1</v>
      </c>
      <c r="D126" s="138"/>
      <c r="E126" s="138"/>
      <c r="G126" t="s">
        <v>26</v>
      </c>
    </row>
    <row r="127" spans="1:9" x14ac:dyDescent="0.3">
      <c r="D127" s="138"/>
      <c r="E127" s="138"/>
    </row>
    <row r="128" spans="1:9" x14ac:dyDescent="0.3">
      <c r="B128" t="s">
        <v>279</v>
      </c>
      <c r="C128" s="138">
        <f ca="1">C126-B126</f>
        <v>6.0563999999999951E-2</v>
      </c>
      <c r="D128" s="138"/>
      <c r="E128" s="138"/>
    </row>
    <row r="129" spans="1:9" x14ac:dyDescent="0.3">
      <c r="B129" t="s">
        <v>276</v>
      </c>
      <c r="C129" s="138">
        <f ca="1">ABS(C128)</f>
        <v>6.0563999999999951E-2</v>
      </c>
      <c r="D129" s="138"/>
      <c r="E129" s="138"/>
    </row>
    <row r="130" spans="1:9" x14ac:dyDescent="0.3">
      <c r="C130" s="138"/>
      <c r="D130" s="138"/>
      <c r="E130" s="138"/>
    </row>
    <row r="131" spans="1:9" x14ac:dyDescent="0.3">
      <c r="C131" s="138"/>
      <c r="D131" s="138"/>
      <c r="E131" s="138"/>
    </row>
    <row r="132" spans="1:9" x14ac:dyDescent="0.3">
      <c r="C132" s="138"/>
      <c r="D132" s="138"/>
      <c r="E132" s="138"/>
    </row>
    <row r="133" spans="1:9" x14ac:dyDescent="0.3">
      <c r="B133" s="138"/>
      <c r="C133" s="138"/>
      <c r="D133" s="138"/>
      <c r="E133" s="138"/>
    </row>
    <row r="134" spans="1:9" x14ac:dyDescent="0.3">
      <c r="A134" s="298" t="s">
        <v>281</v>
      </c>
      <c r="B134" s="298"/>
      <c r="C134" s="298"/>
      <c r="D134" s="298"/>
      <c r="E134" s="298"/>
      <c r="F134" s="298"/>
      <c r="G134" s="298"/>
      <c r="H134" s="298"/>
      <c r="I134" s="298"/>
    </row>
    <row r="135" spans="1:9" x14ac:dyDescent="0.3">
      <c r="A135" s="298"/>
      <c r="B135" s="298"/>
      <c r="C135" s="298"/>
      <c r="D135" s="298"/>
      <c r="E135" s="298"/>
      <c r="F135" s="298"/>
      <c r="G135" s="298"/>
      <c r="H135" s="298"/>
      <c r="I135" s="298"/>
    </row>
    <row r="136" spans="1:9" ht="14.4" customHeight="1" x14ac:dyDescent="0.3">
      <c r="A136" s="298" t="s">
        <v>282</v>
      </c>
      <c r="B136" s="298"/>
      <c r="C136" s="298"/>
      <c r="D136" s="298"/>
      <c r="E136" s="298"/>
      <c r="F136" s="299">
        <f ca="1">C126</f>
        <v>1</v>
      </c>
      <c r="G136" s="298"/>
      <c r="H136" s="298"/>
      <c r="I136" s="298"/>
    </row>
    <row r="137" spans="1:9" ht="14.4" customHeight="1" x14ac:dyDescent="0.3">
      <c r="A137" s="298"/>
      <c r="B137" s="298"/>
      <c r="C137" s="298"/>
      <c r="D137" s="298"/>
      <c r="E137" s="298"/>
      <c r="F137" s="298"/>
      <c r="G137" s="298"/>
      <c r="H137" s="298"/>
      <c r="I137" s="298"/>
    </row>
    <row r="138" spans="1:9" x14ac:dyDescent="0.3">
      <c r="A138" s="298" t="s">
        <v>283</v>
      </c>
      <c r="B138" s="298"/>
      <c r="C138" s="298"/>
      <c r="D138" s="298"/>
      <c r="E138" s="298"/>
      <c r="F138" s="299">
        <f ca="1">C129</f>
        <v>6.0563999999999951E-2</v>
      </c>
      <c r="G138" s="298"/>
      <c r="H138" s="298"/>
      <c r="I138" s="298"/>
    </row>
    <row r="139" spans="1:9" x14ac:dyDescent="0.3">
      <c r="A139" s="298"/>
      <c r="B139" s="298"/>
      <c r="C139" s="298"/>
      <c r="D139" s="298"/>
      <c r="E139" s="298"/>
      <c r="F139" s="298"/>
      <c r="G139" s="298"/>
      <c r="H139" s="298"/>
      <c r="I139" s="298"/>
    </row>
    <row r="140" spans="1:9" x14ac:dyDescent="0.3">
      <c r="B140" s="138"/>
      <c r="C140" s="138"/>
      <c r="D140" s="138"/>
      <c r="E140" s="138"/>
    </row>
    <row r="141" spans="1:9" x14ac:dyDescent="0.3">
      <c r="B141" s="138"/>
      <c r="C141" s="138"/>
      <c r="D141" s="138"/>
      <c r="E141" s="138"/>
    </row>
    <row r="142" spans="1:9" x14ac:dyDescent="0.3">
      <c r="B142" s="138"/>
      <c r="C142" s="138"/>
      <c r="D142" s="138"/>
      <c r="E142" s="138"/>
    </row>
    <row r="143" spans="1:9" x14ac:dyDescent="0.3">
      <c r="B143" s="138"/>
      <c r="C143" s="138"/>
      <c r="D143" s="138"/>
      <c r="E143" s="138"/>
    </row>
    <row r="144" spans="1:9" x14ac:dyDescent="0.3">
      <c r="B144" s="138"/>
      <c r="C144" s="138"/>
      <c r="D144" s="138"/>
      <c r="E144" s="138"/>
    </row>
    <row r="145" spans="2:5" x14ac:dyDescent="0.3">
      <c r="B145" s="138"/>
      <c r="C145" s="138"/>
      <c r="D145" s="138"/>
      <c r="E145" s="138"/>
    </row>
    <row r="146" spans="2:5" x14ac:dyDescent="0.3">
      <c r="B146" s="138"/>
      <c r="C146" s="138"/>
      <c r="D146" s="138"/>
      <c r="E146" s="138"/>
    </row>
    <row r="147" spans="2:5" x14ac:dyDescent="0.3">
      <c r="B147" s="138"/>
      <c r="C147" s="138"/>
      <c r="D147" s="138"/>
      <c r="E147" s="138"/>
    </row>
    <row r="148" spans="2:5" x14ac:dyDescent="0.3">
      <c r="B148" s="138"/>
      <c r="C148" s="138"/>
      <c r="D148" s="138"/>
      <c r="E148" s="138"/>
    </row>
    <row r="149" spans="2:5" x14ac:dyDescent="0.3">
      <c r="B149" s="138"/>
      <c r="C149" s="138"/>
      <c r="D149" s="138"/>
      <c r="E149" s="138"/>
    </row>
    <row r="150" spans="2:5" x14ac:dyDescent="0.3">
      <c r="B150" s="138"/>
      <c r="C150" s="138"/>
      <c r="D150" s="138"/>
      <c r="E150" s="138"/>
    </row>
    <row r="151" spans="2:5" x14ac:dyDescent="0.3">
      <c r="B151" s="138"/>
      <c r="C151" s="138"/>
      <c r="D151" s="138"/>
      <c r="E151" s="138"/>
    </row>
    <row r="152" spans="2:5" x14ac:dyDescent="0.3">
      <c r="B152" s="138"/>
      <c r="C152" s="138"/>
      <c r="D152" s="138"/>
      <c r="E152" s="138"/>
    </row>
    <row r="153" spans="2:5" x14ac:dyDescent="0.3">
      <c r="B153" s="138"/>
      <c r="C153" s="138"/>
      <c r="D153" s="138"/>
      <c r="E153" s="138"/>
    </row>
    <row r="154" spans="2:5" x14ac:dyDescent="0.3">
      <c r="B154" s="138"/>
      <c r="C154" s="138"/>
      <c r="D154" s="138"/>
      <c r="E154" s="138"/>
    </row>
    <row r="155" spans="2:5" x14ac:dyDescent="0.3">
      <c r="B155" s="138"/>
      <c r="C155" s="138"/>
      <c r="D155" s="138"/>
      <c r="E155" s="138"/>
    </row>
    <row r="156" spans="2:5" x14ac:dyDescent="0.3">
      <c r="B156" s="138"/>
      <c r="C156" s="138"/>
      <c r="D156" s="138"/>
      <c r="E156" s="138"/>
    </row>
    <row r="157" spans="2:5" x14ac:dyDescent="0.3">
      <c r="B157" s="138"/>
      <c r="C157" s="138"/>
      <c r="D157" s="138"/>
      <c r="E157" s="138"/>
    </row>
    <row r="158" spans="2:5" x14ac:dyDescent="0.3">
      <c r="B158" s="138"/>
      <c r="C158" s="138"/>
      <c r="D158" s="138"/>
      <c r="E158" s="138"/>
    </row>
    <row r="159" spans="2:5" x14ac:dyDescent="0.3">
      <c r="B159" s="138"/>
      <c r="C159" s="138"/>
      <c r="D159" s="138"/>
      <c r="E159" s="138"/>
    </row>
    <row r="160" spans="2:5" x14ac:dyDescent="0.3">
      <c r="B160" s="138"/>
      <c r="C160" s="138"/>
      <c r="D160" s="138"/>
      <c r="E160" s="138"/>
    </row>
    <row r="161" spans="2:5" x14ac:dyDescent="0.3">
      <c r="B161" s="138"/>
      <c r="C161" s="138"/>
      <c r="D161" s="138"/>
      <c r="E161" s="138"/>
    </row>
    <row r="162" spans="2:5" x14ac:dyDescent="0.3">
      <c r="B162" s="138"/>
      <c r="C162" s="138"/>
      <c r="D162" s="138"/>
      <c r="E162" s="138"/>
    </row>
    <row r="163" spans="2:5" x14ac:dyDescent="0.3">
      <c r="B163" s="138"/>
      <c r="C163" s="138"/>
      <c r="D163" s="138"/>
      <c r="E163" s="138"/>
    </row>
    <row r="164" spans="2:5" x14ac:dyDescent="0.3">
      <c r="B164" s="138"/>
      <c r="C164" s="138"/>
      <c r="D164" s="138"/>
      <c r="E164" s="138"/>
    </row>
    <row r="165" spans="2:5" x14ac:dyDescent="0.3">
      <c r="B165" s="138"/>
      <c r="C165" s="138"/>
      <c r="D165" s="138"/>
      <c r="E165" s="138"/>
    </row>
    <row r="166" spans="2:5" x14ac:dyDescent="0.3">
      <c r="B166" s="138"/>
      <c r="C166" s="138"/>
      <c r="D166" s="138"/>
      <c r="E166" s="138"/>
    </row>
    <row r="167" spans="2:5" x14ac:dyDescent="0.3">
      <c r="B167" s="138"/>
      <c r="C167" s="138"/>
      <c r="D167" s="138"/>
      <c r="E167" s="138"/>
    </row>
    <row r="168" spans="2:5" x14ac:dyDescent="0.3">
      <c r="B168" s="138"/>
      <c r="C168" s="138"/>
      <c r="D168" s="138"/>
      <c r="E168" s="138"/>
    </row>
    <row r="169" spans="2:5" x14ac:dyDescent="0.3">
      <c r="B169" s="138"/>
      <c r="C169" s="138"/>
      <c r="D169" s="138"/>
      <c r="E169" s="138"/>
    </row>
    <row r="170" spans="2:5" x14ac:dyDescent="0.3">
      <c r="B170" s="138"/>
      <c r="C170" s="138"/>
      <c r="D170" s="138"/>
      <c r="E170" s="138"/>
    </row>
    <row r="171" spans="2:5" x14ac:dyDescent="0.3">
      <c r="B171" s="138"/>
      <c r="C171" s="138"/>
      <c r="D171" s="138"/>
      <c r="E171" s="138"/>
    </row>
    <row r="172" spans="2:5" x14ac:dyDescent="0.3">
      <c r="B172" s="138"/>
      <c r="C172" s="138"/>
      <c r="D172" s="138"/>
      <c r="E172" s="138"/>
    </row>
    <row r="173" spans="2:5" x14ac:dyDescent="0.3">
      <c r="B173" s="138"/>
      <c r="C173" s="138"/>
      <c r="D173" s="138"/>
      <c r="E173" s="138"/>
    </row>
    <row r="174" spans="2:5" x14ac:dyDescent="0.3">
      <c r="B174" s="138"/>
      <c r="C174" s="138"/>
      <c r="D174" s="138"/>
      <c r="E174" s="138"/>
    </row>
    <row r="175" spans="2:5" x14ac:dyDescent="0.3">
      <c r="B175" s="138"/>
      <c r="C175" s="138"/>
      <c r="D175" s="138"/>
      <c r="E175" s="138"/>
    </row>
    <row r="176" spans="2:5" x14ac:dyDescent="0.3">
      <c r="B176" s="138"/>
      <c r="C176" s="138"/>
      <c r="D176" s="138"/>
      <c r="E176" s="138"/>
    </row>
    <row r="177" spans="2:5" x14ac:dyDescent="0.3">
      <c r="B177" s="138"/>
      <c r="C177" s="138"/>
      <c r="D177" s="138"/>
      <c r="E177" s="138"/>
    </row>
    <row r="178" spans="2:5" x14ac:dyDescent="0.3">
      <c r="B178" s="138"/>
      <c r="C178" s="138"/>
      <c r="D178" s="138"/>
      <c r="E178" s="138"/>
    </row>
    <row r="179" spans="2:5" x14ac:dyDescent="0.3">
      <c r="B179" s="138"/>
      <c r="C179" s="138"/>
      <c r="D179" s="138"/>
      <c r="E179" s="138"/>
    </row>
    <row r="180" spans="2:5" x14ac:dyDescent="0.3">
      <c r="B180" s="138"/>
      <c r="C180" s="138"/>
      <c r="D180" s="138"/>
      <c r="E180" s="138"/>
    </row>
    <row r="181" spans="2:5" x14ac:dyDescent="0.3">
      <c r="B181" s="138"/>
      <c r="C181" s="138"/>
      <c r="D181" s="138"/>
      <c r="E181" s="138"/>
    </row>
    <row r="182" spans="2:5" x14ac:dyDescent="0.3">
      <c r="B182" s="138"/>
      <c r="C182" s="138"/>
      <c r="D182" s="138"/>
      <c r="E182" s="138"/>
    </row>
    <row r="183" spans="2:5" x14ac:dyDescent="0.3">
      <c r="B183" s="138"/>
      <c r="C183" s="138"/>
      <c r="D183" s="138"/>
      <c r="E183" s="138"/>
    </row>
    <row r="184" spans="2:5" x14ac:dyDescent="0.3">
      <c r="B184" s="138"/>
      <c r="C184" s="138"/>
      <c r="D184" s="138"/>
      <c r="E184" s="138"/>
    </row>
    <row r="185" spans="2:5" x14ac:dyDescent="0.3">
      <c r="B185" s="138"/>
      <c r="C185" s="138"/>
      <c r="D185" s="138"/>
      <c r="E185" s="138"/>
    </row>
    <row r="186" spans="2:5" x14ac:dyDescent="0.3">
      <c r="B186" s="138"/>
      <c r="C186" s="138"/>
      <c r="D186" s="138"/>
      <c r="E186" s="138"/>
    </row>
    <row r="187" spans="2:5" x14ac:dyDescent="0.3">
      <c r="B187" s="138"/>
      <c r="C187" s="138"/>
      <c r="D187" s="138"/>
      <c r="E187" s="138"/>
    </row>
    <row r="188" spans="2:5" x14ac:dyDescent="0.3">
      <c r="B188" s="138"/>
      <c r="C188" s="138"/>
      <c r="D188" s="138"/>
      <c r="E188" s="138"/>
    </row>
    <row r="189" spans="2:5" x14ac:dyDescent="0.3">
      <c r="B189" s="138"/>
      <c r="C189" s="138"/>
      <c r="D189" s="138"/>
      <c r="E189" s="138"/>
    </row>
    <row r="190" spans="2:5" x14ac:dyDescent="0.3">
      <c r="B190" s="138"/>
      <c r="C190" s="138"/>
      <c r="D190" s="138"/>
      <c r="E190" s="138"/>
    </row>
    <row r="191" spans="2:5" x14ac:dyDescent="0.3">
      <c r="B191" s="138"/>
      <c r="C191" s="138"/>
      <c r="D191" s="138"/>
      <c r="E191" s="138"/>
    </row>
    <row r="192" spans="2:5" x14ac:dyDescent="0.3">
      <c r="B192" s="138"/>
      <c r="C192" s="138"/>
      <c r="D192" s="138"/>
      <c r="E192" s="138"/>
    </row>
    <row r="193" spans="2:5" x14ac:dyDescent="0.3">
      <c r="B193" s="138"/>
      <c r="C193" s="138"/>
      <c r="D193" s="138"/>
      <c r="E193" s="138"/>
    </row>
    <row r="194" spans="2:5" x14ac:dyDescent="0.3">
      <c r="B194" s="138"/>
      <c r="C194" s="138"/>
      <c r="D194" s="138"/>
      <c r="E194" s="138"/>
    </row>
    <row r="195" spans="2:5" x14ac:dyDescent="0.3">
      <c r="B195" s="138"/>
      <c r="C195" s="138"/>
      <c r="D195" s="138"/>
      <c r="E195" s="138"/>
    </row>
    <row r="196" spans="2:5" x14ac:dyDescent="0.3">
      <c r="B196" s="138"/>
      <c r="C196" s="138"/>
      <c r="D196" s="138"/>
      <c r="E196" s="138"/>
    </row>
    <row r="197" spans="2:5" x14ac:dyDescent="0.3">
      <c r="B197" s="138"/>
      <c r="C197" s="138"/>
      <c r="D197" s="138"/>
      <c r="E197" s="138"/>
    </row>
    <row r="198" spans="2:5" x14ac:dyDescent="0.3">
      <c r="B198" s="138"/>
      <c r="C198" s="138"/>
      <c r="D198" s="138"/>
      <c r="E198" s="138"/>
    </row>
    <row r="199" spans="2:5" x14ac:dyDescent="0.3">
      <c r="B199" s="138"/>
      <c r="C199" s="138"/>
      <c r="D199" s="138"/>
      <c r="E199" s="138"/>
    </row>
    <row r="200" spans="2:5" x14ac:dyDescent="0.3">
      <c r="B200" s="138"/>
      <c r="C200" s="138"/>
      <c r="D200" s="138"/>
      <c r="E200" s="138"/>
    </row>
    <row r="201" spans="2:5" x14ac:dyDescent="0.3">
      <c r="B201" s="138"/>
      <c r="C201" s="138"/>
      <c r="D201" s="138"/>
      <c r="E201" s="138"/>
    </row>
    <row r="202" spans="2:5" x14ac:dyDescent="0.3">
      <c r="B202" s="138"/>
      <c r="C202" s="138"/>
      <c r="D202" s="138"/>
      <c r="E202" s="138"/>
    </row>
    <row r="203" spans="2:5" x14ac:dyDescent="0.3">
      <c r="B203" s="138"/>
      <c r="C203" s="138"/>
      <c r="D203" s="138"/>
      <c r="E203" s="138"/>
    </row>
    <row r="204" spans="2:5" x14ac:dyDescent="0.3">
      <c r="B204" s="138"/>
      <c r="C204" s="138"/>
      <c r="D204" s="138"/>
      <c r="E204" s="138"/>
    </row>
    <row r="205" spans="2:5" x14ac:dyDescent="0.3">
      <c r="B205" s="138"/>
      <c r="C205" s="138"/>
      <c r="D205" s="138"/>
      <c r="E205" s="138"/>
    </row>
    <row r="206" spans="2:5" x14ac:dyDescent="0.3">
      <c r="B206" s="138"/>
      <c r="C206" s="138"/>
      <c r="D206" s="138"/>
      <c r="E206" s="138"/>
    </row>
    <row r="207" spans="2:5" x14ac:dyDescent="0.3">
      <c r="B207" s="138"/>
      <c r="C207" s="138"/>
      <c r="D207" s="138"/>
      <c r="E207" s="138"/>
    </row>
    <row r="208" spans="2:5" x14ac:dyDescent="0.3">
      <c r="B208" s="138"/>
      <c r="C208" s="138"/>
      <c r="D208" s="138"/>
      <c r="E208" s="138"/>
    </row>
    <row r="209" spans="2:5" x14ac:dyDescent="0.3">
      <c r="B209" s="138"/>
      <c r="C209" s="138"/>
      <c r="D209" s="138"/>
      <c r="E209" s="138"/>
    </row>
    <row r="210" spans="2:5" x14ac:dyDescent="0.3">
      <c r="B210" s="138"/>
      <c r="C210" s="138"/>
      <c r="D210" s="138"/>
      <c r="E210" s="138"/>
    </row>
    <row r="211" spans="2:5" x14ac:dyDescent="0.3">
      <c r="B211" s="138"/>
      <c r="C211" s="138"/>
      <c r="D211" s="138"/>
      <c r="E211" s="138"/>
    </row>
    <row r="212" spans="2:5" x14ac:dyDescent="0.3">
      <c r="B212" s="138"/>
      <c r="C212" s="138"/>
      <c r="D212" s="138"/>
      <c r="E212" s="138"/>
    </row>
    <row r="213" spans="2:5" x14ac:dyDescent="0.3">
      <c r="B213" s="138"/>
      <c r="C213" s="138"/>
      <c r="D213" s="138"/>
      <c r="E213" s="138"/>
    </row>
    <row r="214" spans="2:5" x14ac:dyDescent="0.3">
      <c r="B214" s="138"/>
      <c r="C214" s="138"/>
      <c r="D214" s="138"/>
      <c r="E214" s="138"/>
    </row>
    <row r="215" spans="2:5" x14ac:dyDescent="0.3">
      <c r="B215" s="138"/>
      <c r="C215" s="138"/>
      <c r="D215" s="138"/>
      <c r="E215" s="138"/>
    </row>
    <row r="216" spans="2:5" x14ac:dyDescent="0.3">
      <c r="B216" s="138"/>
      <c r="C216" s="138"/>
      <c r="D216" s="138"/>
      <c r="E216" s="138"/>
    </row>
    <row r="217" spans="2:5" x14ac:dyDescent="0.3">
      <c r="B217" s="138"/>
      <c r="C217" s="138"/>
      <c r="D217" s="138"/>
      <c r="E217" s="138"/>
    </row>
    <row r="218" spans="2:5" x14ac:dyDescent="0.3">
      <c r="B218" s="138"/>
      <c r="C218" s="138"/>
      <c r="D218" s="138"/>
      <c r="E218" s="138"/>
    </row>
    <row r="219" spans="2:5" x14ac:dyDescent="0.3">
      <c r="B219" s="138"/>
      <c r="C219" s="138"/>
      <c r="D219" s="138"/>
      <c r="E219" s="138"/>
    </row>
    <row r="220" spans="2:5" x14ac:dyDescent="0.3">
      <c r="B220" s="138"/>
      <c r="C220" s="138"/>
      <c r="D220" s="138"/>
      <c r="E220" s="138"/>
    </row>
    <row r="221" spans="2:5" x14ac:dyDescent="0.3">
      <c r="B221" s="138"/>
      <c r="C221" s="138"/>
      <c r="D221" s="138"/>
      <c r="E221" s="138"/>
    </row>
    <row r="222" spans="2:5" x14ac:dyDescent="0.3">
      <c r="B222" s="138"/>
      <c r="C222" s="138"/>
      <c r="D222" s="138"/>
      <c r="E222" s="138"/>
    </row>
    <row r="223" spans="2:5" x14ac:dyDescent="0.3">
      <c r="B223" s="138"/>
      <c r="C223" s="138"/>
      <c r="D223" s="138"/>
      <c r="E223" s="138"/>
    </row>
    <row r="224" spans="2:5" x14ac:dyDescent="0.3">
      <c r="B224" s="138"/>
      <c r="C224" s="138"/>
      <c r="D224" s="138"/>
      <c r="E224" s="138"/>
    </row>
    <row r="225" spans="2:5" x14ac:dyDescent="0.3">
      <c r="B225" s="138"/>
      <c r="C225" s="138"/>
      <c r="D225" s="138"/>
      <c r="E225" s="138"/>
    </row>
    <row r="226" spans="2:5" x14ac:dyDescent="0.3">
      <c r="B226" s="138"/>
      <c r="C226" s="138"/>
      <c r="D226" s="138"/>
      <c r="E226" s="138"/>
    </row>
    <row r="227" spans="2:5" x14ac:dyDescent="0.3">
      <c r="B227" s="138"/>
      <c r="C227" s="138"/>
      <c r="D227" s="138"/>
      <c r="E227" s="138"/>
    </row>
    <row r="228" spans="2:5" x14ac:dyDescent="0.3">
      <c r="B228" s="138"/>
      <c r="C228" s="138"/>
      <c r="D228" s="138"/>
      <c r="E228" s="138"/>
    </row>
    <row r="229" spans="2:5" x14ac:dyDescent="0.3">
      <c r="B229" s="138"/>
      <c r="C229" s="138"/>
      <c r="D229" s="138"/>
      <c r="E229" s="138"/>
    </row>
    <row r="230" spans="2:5" x14ac:dyDescent="0.3">
      <c r="B230" s="138"/>
      <c r="C230" s="138"/>
      <c r="D230" s="138"/>
      <c r="E230" s="138"/>
    </row>
    <row r="231" spans="2:5" x14ac:dyDescent="0.3">
      <c r="B231" s="138"/>
      <c r="C231" s="138"/>
      <c r="D231" s="138"/>
      <c r="E231" s="138"/>
    </row>
    <row r="232" spans="2:5" x14ac:dyDescent="0.3">
      <c r="B232" s="138"/>
      <c r="C232" s="138"/>
      <c r="D232" s="138"/>
      <c r="E232" s="138"/>
    </row>
    <row r="233" spans="2:5" x14ac:dyDescent="0.3">
      <c r="B233" s="138"/>
      <c r="C233" s="138"/>
      <c r="D233" s="138"/>
      <c r="E233" s="138"/>
    </row>
    <row r="234" spans="2:5" x14ac:dyDescent="0.3">
      <c r="B234" s="138"/>
      <c r="C234" s="138"/>
      <c r="D234" s="138"/>
      <c r="E234" s="138"/>
    </row>
    <row r="235" spans="2:5" x14ac:dyDescent="0.3">
      <c r="B235" s="138"/>
      <c r="C235" s="138"/>
      <c r="D235" s="138"/>
      <c r="E235" s="138"/>
    </row>
    <row r="236" spans="2:5" x14ac:dyDescent="0.3">
      <c r="B236" s="138"/>
      <c r="C236" s="138"/>
      <c r="D236" s="138"/>
      <c r="E236" s="138"/>
    </row>
    <row r="237" spans="2:5" x14ac:dyDescent="0.3">
      <c r="B237" s="138"/>
      <c r="C237" s="138"/>
      <c r="D237" s="138"/>
      <c r="E237" s="138"/>
    </row>
    <row r="238" spans="2:5" x14ac:dyDescent="0.3">
      <c r="B238" s="138"/>
      <c r="C238" s="138"/>
      <c r="D238" s="138"/>
      <c r="E238" s="138"/>
    </row>
    <row r="239" spans="2:5" x14ac:dyDescent="0.3">
      <c r="B239" s="138"/>
      <c r="C239" s="138"/>
      <c r="D239" s="138"/>
      <c r="E239" s="138"/>
    </row>
    <row r="240" spans="2:5" x14ac:dyDescent="0.3">
      <c r="B240" s="138"/>
      <c r="C240" s="138"/>
      <c r="D240" s="138"/>
      <c r="E240" s="138"/>
    </row>
    <row r="241" spans="2:5" x14ac:dyDescent="0.3">
      <c r="B241" s="138"/>
      <c r="C241" s="138"/>
      <c r="D241" s="138"/>
      <c r="E241" s="138"/>
    </row>
    <row r="242" spans="2:5" x14ac:dyDescent="0.3">
      <c r="B242" s="138"/>
      <c r="C242" s="138"/>
      <c r="D242" s="138"/>
      <c r="E242" s="138"/>
    </row>
    <row r="243" spans="2:5" x14ac:dyDescent="0.3">
      <c r="B243" s="138"/>
      <c r="C243" s="138"/>
      <c r="D243" s="138"/>
      <c r="E243" s="138"/>
    </row>
    <row r="244" spans="2:5" x14ac:dyDescent="0.3">
      <c r="B244" s="138"/>
      <c r="C244" s="138"/>
      <c r="D244" s="138"/>
      <c r="E244" s="138"/>
    </row>
    <row r="245" spans="2:5" x14ac:dyDescent="0.3">
      <c r="B245" s="138"/>
      <c r="C245" s="138"/>
      <c r="D245" s="138"/>
      <c r="E245" s="138"/>
    </row>
    <row r="246" spans="2:5" x14ac:dyDescent="0.3">
      <c r="B246" s="138"/>
      <c r="C246" s="138"/>
      <c r="D246" s="138"/>
      <c r="E246" s="138"/>
    </row>
    <row r="247" spans="2:5" x14ac:dyDescent="0.3">
      <c r="B247" s="138"/>
      <c r="C247" s="138"/>
      <c r="D247" s="138"/>
      <c r="E247" s="138"/>
    </row>
    <row r="248" spans="2:5" x14ac:dyDescent="0.3">
      <c r="B248" s="138"/>
      <c r="C248" s="138"/>
      <c r="D248" s="138"/>
      <c r="E248" s="138"/>
    </row>
    <row r="249" spans="2:5" x14ac:dyDescent="0.3">
      <c r="B249" s="138"/>
      <c r="C249" s="138"/>
      <c r="D249" s="138"/>
      <c r="E249" s="138"/>
    </row>
    <row r="250" spans="2:5" x14ac:dyDescent="0.3">
      <c r="B250" s="138"/>
      <c r="C250" s="138"/>
      <c r="D250" s="138"/>
      <c r="E250" s="138"/>
    </row>
    <row r="251" spans="2:5" x14ac:dyDescent="0.3">
      <c r="B251" s="138"/>
      <c r="C251" s="138"/>
      <c r="D251" s="138"/>
      <c r="E251" s="138"/>
    </row>
    <row r="252" spans="2:5" x14ac:dyDescent="0.3">
      <c r="B252" s="138"/>
      <c r="C252" s="138"/>
      <c r="D252" s="138"/>
      <c r="E252" s="138"/>
    </row>
    <row r="253" spans="2:5" x14ac:dyDescent="0.3">
      <c r="B253" s="138"/>
      <c r="C253" s="138"/>
      <c r="D253" s="138"/>
      <c r="E253" s="138"/>
    </row>
    <row r="254" spans="2:5" x14ac:dyDescent="0.3">
      <c r="B254" s="138"/>
      <c r="C254" s="138"/>
      <c r="D254" s="138"/>
      <c r="E254" s="138"/>
    </row>
    <row r="255" spans="2:5" x14ac:dyDescent="0.3">
      <c r="B255" s="138"/>
      <c r="C255" s="138"/>
      <c r="D255" s="138"/>
      <c r="E255" s="138"/>
    </row>
    <row r="256" spans="2:5" x14ac:dyDescent="0.3">
      <c r="B256" s="138"/>
      <c r="C256" s="138"/>
      <c r="D256" s="138"/>
      <c r="E256" s="138"/>
    </row>
    <row r="257" spans="2:5" x14ac:dyDescent="0.3">
      <c r="B257" s="138"/>
      <c r="C257" s="138"/>
      <c r="D257" s="138"/>
      <c r="E257" s="138"/>
    </row>
    <row r="258" spans="2:5" x14ac:dyDescent="0.3">
      <c r="B258" s="138"/>
      <c r="C258" s="138"/>
      <c r="D258" s="138"/>
      <c r="E258" s="138"/>
    </row>
    <row r="259" spans="2:5" x14ac:dyDescent="0.3">
      <c r="B259" s="138"/>
      <c r="C259" s="138"/>
      <c r="D259" s="138"/>
      <c r="E259" s="138"/>
    </row>
    <row r="260" spans="2:5" x14ac:dyDescent="0.3">
      <c r="B260" s="138"/>
      <c r="C260" s="138"/>
      <c r="D260" s="138"/>
      <c r="E260" s="138"/>
    </row>
    <row r="261" spans="2:5" x14ac:dyDescent="0.3">
      <c r="B261" s="138"/>
      <c r="C261" s="138"/>
      <c r="D261" s="138"/>
      <c r="E261" s="138"/>
    </row>
    <row r="262" spans="2:5" x14ac:dyDescent="0.3">
      <c r="B262" s="138"/>
      <c r="C262" s="138"/>
      <c r="D262" s="138"/>
      <c r="E262" s="138"/>
    </row>
    <row r="263" spans="2:5" x14ac:dyDescent="0.3">
      <c r="B263" s="138"/>
      <c r="C263" s="138"/>
      <c r="D263" s="138"/>
      <c r="E263" s="138"/>
    </row>
    <row r="264" spans="2:5" x14ac:dyDescent="0.3">
      <c r="B264" s="138"/>
      <c r="C264" s="138"/>
      <c r="D264" s="138"/>
      <c r="E264" s="138"/>
    </row>
    <row r="265" spans="2:5" x14ac:dyDescent="0.3">
      <c r="B265" s="138"/>
      <c r="C265" s="138"/>
      <c r="D265" s="138"/>
      <c r="E265" s="138"/>
    </row>
    <row r="266" spans="2:5" x14ac:dyDescent="0.3">
      <c r="B266" s="138"/>
      <c r="C266" s="138"/>
      <c r="D266" s="138"/>
      <c r="E266" s="138"/>
    </row>
    <row r="267" spans="2:5" x14ac:dyDescent="0.3">
      <c r="B267" s="138"/>
      <c r="C267" s="138"/>
      <c r="D267" s="138"/>
      <c r="E267" s="138"/>
    </row>
    <row r="268" spans="2:5" x14ac:dyDescent="0.3">
      <c r="B268" s="138"/>
      <c r="C268" s="138"/>
      <c r="D268" s="138"/>
      <c r="E268" s="138"/>
    </row>
    <row r="269" spans="2:5" x14ac:dyDescent="0.3">
      <c r="B269" s="138"/>
      <c r="C269" s="138"/>
      <c r="D269" s="138"/>
      <c r="E269" s="138"/>
    </row>
    <row r="270" spans="2:5" x14ac:dyDescent="0.3">
      <c r="B270" s="138"/>
      <c r="C270" s="138"/>
      <c r="D270" s="138"/>
      <c r="E270" s="138"/>
    </row>
    <row r="271" spans="2:5" x14ac:dyDescent="0.3">
      <c r="B271" s="138"/>
      <c r="C271" s="138"/>
      <c r="D271" s="138"/>
      <c r="E271" s="138"/>
    </row>
    <row r="272" spans="2:5" x14ac:dyDescent="0.3">
      <c r="B272" s="138"/>
      <c r="C272" s="138"/>
      <c r="D272" s="138"/>
      <c r="E272" s="138"/>
    </row>
    <row r="273" spans="2:5" x14ac:dyDescent="0.3">
      <c r="B273" s="138"/>
      <c r="C273" s="138"/>
      <c r="D273" s="138"/>
      <c r="E273" s="138"/>
    </row>
    <row r="274" spans="2:5" x14ac:dyDescent="0.3">
      <c r="B274" s="138"/>
      <c r="C274" s="138"/>
      <c r="D274" s="138"/>
      <c r="E274" s="138"/>
    </row>
    <row r="275" spans="2:5" x14ac:dyDescent="0.3">
      <c r="B275" s="138"/>
      <c r="C275" s="138"/>
      <c r="D275" s="138"/>
      <c r="E275" s="138"/>
    </row>
  </sheetData>
  <mergeCells count="18">
    <mergeCell ref="H118:I118"/>
    <mergeCell ref="A117:F117"/>
    <mergeCell ref="A118:F118"/>
    <mergeCell ref="A116:F116"/>
    <mergeCell ref="A138:E139"/>
    <mergeCell ref="F138:I139"/>
    <mergeCell ref="Q1:Y2"/>
    <mergeCell ref="A123:I124"/>
    <mergeCell ref="A134:I135"/>
    <mergeCell ref="A136:E137"/>
    <mergeCell ref="F136:I137"/>
    <mergeCell ref="A1:I2"/>
    <mergeCell ref="A17:I18"/>
    <mergeCell ref="A3:C3"/>
    <mergeCell ref="D3:E3"/>
    <mergeCell ref="A7:E7"/>
    <mergeCell ref="H116:I116"/>
    <mergeCell ref="H117:I1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45EE-52E3-4035-85F2-37BA26BDDFEF}">
  <dimension ref="A1:Y141"/>
  <sheetViews>
    <sheetView tabSelected="1" topLeftCell="A74" zoomScale="54" workbookViewId="0">
      <selection activeCell="B7" sqref="B7"/>
    </sheetView>
  </sheetViews>
  <sheetFormatPr defaultRowHeight="14.4" x14ac:dyDescent="0.3"/>
  <sheetData>
    <row r="1" spans="2:25" ht="14.4" customHeight="1" x14ac:dyDescent="0.3">
      <c r="B1" s="298" t="s">
        <v>361</v>
      </c>
      <c r="C1" s="298"/>
      <c r="D1" s="298"/>
      <c r="E1" s="298"/>
      <c r="F1" s="298"/>
      <c r="G1" s="298"/>
      <c r="H1" s="298"/>
      <c r="I1" s="298"/>
      <c r="J1" s="298"/>
      <c r="Q1" s="300" t="s">
        <v>284</v>
      </c>
      <c r="R1" s="300"/>
      <c r="S1" s="300"/>
      <c r="T1" s="300"/>
      <c r="U1" s="300"/>
      <c r="V1" s="300"/>
      <c r="W1" s="300"/>
      <c r="X1" s="300"/>
      <c r="Y1" s="300"/>
    </row>
    <row r="2" spans="2:25" ht="14.4" customHeight="1" x14ac:dyDescent="0.3">
      <c r="B2" s="298"/>
      <c r="C2" s="298"/>
      <c r="D2" s="298"/>
      <c r="E2" s="298"/>
      <c r="F2" s="298"/>
      <c r="G2" s="298"/>
      <c r="H2" s="298"/>
      <c r="I2" s="298"/>
      <c r="J2" s="298"/>
      <c r="Q2" s="300"/>
      <c r="R2" s="300"/>
      <c r="S2" s="300"/>
      <c r="T2" s="300"/>
      <c r="U2" s="300"/>
      <c r="V2" s="300"/>
      <c r="W2" s="300"/>
      <c r="X2" s="300"/>
      <c r="Y2" s="300"/>
    </row>
    <row r="3" spans="2:25" x14ac:dyDescent="0.3">
      <c r="B3" t="s">
        <v>377</v>
      </c>
    </row>
    <row r="4" spans="2:25" x14ac:dyDescent="0.3">
      <c r="B4" t="s">
        <v>375</v>
      </c>
    </row>
    <row r="5" spans="2:25" x14ac:dyDescent="0.3">
      <c r="B5" t="s">
        <v>376</v>
      </c>
    </row>
    <row r="6" spans="2:25" x14ac:dyDescent="0.3">
      <c r="B6" t="s">
        <v>378</v>
      </c>
    </row>
    <row r="24" spans="2:10" ht="14.4" customHeight="1" x14ac:dyDescent="0.3">
      <c r="B24" s="298" t="s">
        <v>285</v>
      </c>
      <c r="C24" s="298"/>
      <c r="D24" s="298"/>
      <c r="E24" s="298"/>
      <c r="F24" s="298"/>
      <c r="G24" s="298"/>
      <c r="H24" s="298"/>
      <c r="I24" s="298"/>
      <c r="J24" s="298"/>
    </row>
    <row r="25" spans="2:10" ht="14.4" customHeight="1" x14ac:dyDescent="0.3">
      <c r="B25" s="298"/>
      <c r="C25" s="298"/>
      <c r="D25" s="298"/>
      <c r="E25" s="298"/>
      <c r="F25" s="298"/>
      <c r="G25" s="298"/>
      <c r="H25" s="298"/>
      <c r="I25" s="298"/>
      <c r="J25" s="298"/>
    </row>
    <row r="27" spans="2:10" x14ac:dyDescent="0.3">
      <c r="D27" t="s">
        <v>286</v>
      </c>
    </row>
    <row r="28" spans="2:10" x14ac:dyDescent="0.3">
      <c r="D28" t="s">
        <v>287</v>
      </c>
    </row>
    <row r="30" spans="2:10" x14ac:dyDescent="0.3">
      <c r="D30" t="s">
        <v>288</v>
      </c>
    </row>
    <row r="31" spans="2:10" x14ac:dyDescent="0.3">
      <c r="D31" t="s">
        <v>289</v>
      </c>
    </row>
    <row r="32" spans="2:10" x14ac:dyDescent="0.3">
      <c r="D32" t="s">
        <v>290</v>
      </c>
    </row>
    <row r="34" spans="4:4" x14ac:dyDescent="0.3">
      <c r="D34" t="s">
        <v>291</v>
      </c>
    </row>
    <row r="35" spans="4:4" x14ac:dyDescent="0.3">
      <c r="D35" t="s">
        <v>292</v>
      </c>
    </row>
    <row r="36" spans="4:4" x14ac:dyDescent="0.3">
      <c r="D36" t="s">
        <v>293</v>
      </c>
    </row>
    <row r="38" spans="4:4" x14ac:dyDescent="0.3">
      <c r="D38" t="s">
        <v>294</v>
      </c>
    </row>
    <row r="40" spans="4:4" x14ac:dyDescent="0.3">
      <c r="D40" t="s">
        <v>295</v>
      </c>
    </row>
    <row r="42" spans="4:4" x14ac:dyDescent="0.3">
      <c r="D42" t="s">
        <v>296</v>
      </c>
    </row>
    <row r="43" spans="4:4" x14ac:dyDescent="0.3">
      <c r="D43" t="s">
        <v>297</v>
      </c>
    </row>
    <row r="44" spans="4:4" x14ac:dyDescent="0.3">
      <c r="D44" t="s">
        <v>298</v>
      </c>
    </row>
    <row r="45" spans="4:4" x14ac:dyDescent="0.3">
      <c r="D45" t="s">
        <v>299</v>
      </c>
    </row>
    <row r="46" spans="4:4" x14ac:dyDescent="0.3">
      <c r="D46" t="s">
        <v>300</v>
      </c>
    </row>
    <row r="48" spans="4:4" x14ac:dyDescent="0.3">
      <c r="D48" t="s">
        <v>301</v>
      </c>
    </row>
    <row r="52" spans="1:12" ht="14.4" customHeight="1" x14ac:dyDescent="0.3">
      <c r="B52" s="298" t="s">
        <v>346</v>
      </c>
      <c r="C52" s="298"/>
      <c r="D52" s="298"/>
      <c r="E52" s="298"/>
      <c r="F52" s="298"/>
      <c r="G52" s="298"/>
      <c r="H52" s="298"/>
      <c r="I52" s="298"/>
      <c r="J52" s="298"/>
    </row>
    <row r="53" spans="1:12" ht="14.4" customHeight="1" x14ac:dyDescent="0.3">
      <c r="B53" s="298"/>
      <c r="C53" s="298"/>
      <c r="D53" s="298"/>
      <c r="E53" s="298"/>
      <c r="F53" s="298"/>
      <c r="G53" s="298"/>
      <c r="H53" s="298"/>
      <c r="I53" s="298"/>
      <c r="J53" s="298"/>
    </row>
    <row r="54" spans="1:12" x14ac:dyDescent="0.3">
      <c r="A54" t="s">
        <v>347</v>
      </c>
      <c r="L54" t="s">
        <v>360</v>
      </c>
    </row>
    <row r="56" spans="1:12" x14ac:dyDescent="0.3">
      <c r="B56" t="s">
        <v>345</v>
      </c>
    </row>
    <row r="57" spans="1:12" x14ac:dyDescent="0.3">
      <c r="L57" t="s">
        <v>348</v>
      </c>
    </row>
    <row r="58" spans="1:12" x14ac:dyDescent="0.3">
      <c r="B58" t="s">
        <v>302</v>
      </c>
      <c r="L58" t="s">
        <v>304</v>
      </c>
    </row>
    <row r="59" spans="1:12" x14ac:dyDescent="0.3">
      <c r="B59" t="s">
        <v>303</v>
      </c>
      <c r="L59" t="s">
        <v>349</v>
      </c>
    </row>
    <row r="60" spans="1:12" x14ac:dyDescent="0.3">
      <c r="L60" t="s">
        <v>310</v>
      </c>
    </row>
    <row r="61" spans="1:12" x14ac:dyDescent="0.3">
      <c r="B61" t="s">
        <v>362</v>
      </c>
      <c r="L61" t="s">
        <v>370</v>
      </c>
    </row>
    <row r="62" spans="1:12" x14ac:dyDescent="0.3">
      <c r="B62" t="s">
        <v>304</v>
      </c>
      <c r="L62" t="s">
        <v>350</v>
      </c>
    </row>
    <row r="63" spans="1:12" x14ac:dyDescent="0.3">
      <c r="B63" t="s">
        <v>305</v>
      </c>
      <c r="L63" t="s">
        <v>351</v>
      </c>
    </row>
    <row r="64" spans="1:12" x14ac:dyDescent="0.3">
      <c r="B64" t="s">
        <v>363</v>
      </c>
      <c r="L64" t="s">
        <v>371</v>
      </c>
    </row>
    <row r="65" spans="2:12" x14ac:dyDescent="0.3">
      <c r="L65" t="s">
        <v>352</v>
      </c>
    </row>
    <row r="66" spans="2:12" x14ac:dyDescent="0.3">
      <c r="B66" t="s">
        <v>306</v>
      </c>
      <c r="L66" t="s">
        <v>353</v>
      </c>
    </row>
    <row r="67" spans="2:12" x14ac:dyDescent="0.3">
      <c r="B67" t="s">
        <v>307</v>
      </c>
      <c r="L67" t="s">
        <v>371</v>
      </c>
    </row>
    <row r="68" spans="2:12" x14ac:dyDescent="0.3">
      <c r="B68" t="s">
        <v>308</v>
      </c>
      <c r="L68" t="s">
        <v>354</v>
      </c>
    </row>
    <row r="69" spans="2:12" x14ac:dyDescent="0.3">
      <c r="B69" t="s">
        <v>309</v>
      </c>
      <c r="L69" t="s">
        <v>317</v>
      </c>
    </row>
    <row r="70" spans="2:12" x14ac:dyDescent="0.3">
      <c r="B70" t="s">
        <v>310</v>
      </c>
      <c r="L70" t="s">
        <v>355</v>
      </c>
    </row>
    <row r="71" spans="2:12" x14ac:dyDescent="0.3">
      <c r="B71" t="s">
        <v>311</v>
      </c>
      <c r="L71" t="s">
        <v>372</v>
      </c>
    </row>
    <row r="72" spans="2:12" x14ac:dyDescent="0.3">
      <c r="B72" t="s">
        <v>312</v>
      </c>
      <c r="L72" t="s">
        <v>356</v>
      </c>
    </row>
    <row r="73" spans="2:12" x14ac:dyDescent="0.3">
      <c r="B73" t="s">
        <v>313</v>
      </c>
      <c r="L73" t="s">
        <v>319</v>
      </c>
    </row>
    <row r="74" spans="2:12" x14ac:dyDescent="0.3">
      <c r="L74" t="s">
        <v>357</v>
      </c>
    </row>
    <row r="75" spans="2:12" x14ac:dyDescent="0.3">
      <c r="B75" t="s">
        <v>364</v>
      </c>
      <c r="L75" t="s">
        <v>324</v>
      </c>
    </row>
    <row r="76" spans="2:12" x14ac:dyDescent="0.3">
      <c r="B76" t="s">
        <v>310</v>
      </c>
      <c r="L76" t="s">
        <v>371</v>
      </c>
    </row>
    <row r="77" spans="2:12" x14ac:dyDescent="0.3">
      <c r="B77" t="s">
        <v>314</v>
      </c>
      <c r="L77" t="s">
        <v>358</v>
      </c>
    </row>
    <row r="78" spans="2:12" x14ac:dyDescent="0.3">
      <c r="B78" t="s">
        <v>315</v>
      </c>
      <c r="L78" t="s">
        <v>371</v>
      </c>
    </row>
    <row r="79" spans="2:12" x14ac:dyDescent="0.3">
      <c r="L79" t="s">
        <v>359</v>
      </c>
    </row>
    <row r="80" spans="2:12" x14ac:dyDescent="0.3">
      <c r="B80" t="s">
        <v>316</v>
      </c>
      <c r="L80" t="s">
        <v>373</v>
      </c>
    </row>
    <row r="81" spans="2:12" x14ac:dyDescent="0.3">
      <c r="B81" t="s">
        <v>317</v>
      </c>
      <c r="L81" t="s">
        <v>374</v>
      </c>
    </row>
    <row r="82" spans="2:12" x14ac:dyDescent="0.3">
      <c r="B82" t="s">
        <v>318</v>
      </c>
      <c r="L82" t="s">
        <v>313</v>
      </c>
    </row>
    <row r="83" spans="2:12" x14ac:dyDescent="0.3">
      <c r="L83" t="s">
        <v>344</v>
      </c>
    </row>
    <row r="84" spans="2:12" x14ac:dyDescent="0.3">
      <c r="B84" t="s">
        <v>365</v>
      </c>
    </row>
    <row r="85" spans="2:12" x14ac:dyDescent="0.3">
      <c r="B85" t="s">
        <v>366</v>
      </c>
    </row>
    <row r="86" spans="2:12" x14ac:dyDescent="0.3">
      <c r="B86" t="s">
        <v>367</v>
      </c>
    </row>
    <row r="87" spans="2:12" x14ac:dyDescent="0.3">
      <c r="B87" t="s">
        <v>368</v>
      </c>
    </row>
    <row r="89" spans="2:12" x14ac:dyDescent="0.3">
      <c r="B89" t="s">
        <v>320</v>
      </c>
    </row>
    <row r="90" spans="2:12" x14ac:dyDescent="0.3">
      <c r="B90" t="s">
        <v>321</v>
      </c>
    </row>
    <row r="92" spans="2:12" x14ac:dyDescent="0.3">
      <c r="B92" t="s">
        <v>322</v>
      </c>
    </row>
    <row r="94" spans="2:12" x14ac:dyDescent="0.3">
      <c r="B94" t="s">
        <v>323</v>
      </c>
    </row>
    <row r="95" spans="2:12" x14ac:dyDescent="0.3">
      <c r="B95" t="s">
        <v>324</v>
      </c>
    </row>
    <row r="97" spans="2:2" x14ac:dyDescent="0.3">
      <c r="B97" t="s">
        <v>326</v>
      </c>
    </row>
    <row r="98" spans="2:2" x14ac:dyDescent="0.3">
      <c r="B98" t="s">
        <v>313</v>
      </c>
    </row>
    <row r="100" spans="2:2" x14ac:dyDescent="0.3">
      <c r="B100" t="s">
        <v>327</v>
      </c>
    </row>
    <row r="101" spans="2:2" x14ac:dyDescent="0.3">
      <c r="B101" t="s">
        <v>310</v>
      </c>
    </row>
    <row r="102" spans="2:2" x14ac:dyDescent="0.3">
      <c r="B102" t="s">
        <v>328</v>
      </c>
    </row>
    <row r="103" spans="2:2" x14ac:dyDescent="0.3">
      <c r="B103" t="s">
        <v>317</v>
      </c>
    </row>
    <row r="104" spans="2:2" x14ac:dyDescent="0.3">
      <c r="B104" t="s">
        <v>325</v>
      </c>
    </row>
    <row r="105" spans="2:2" x14ac:dyDescent="0.3">
      <c r="B105" t="s">
        <v>329</v>
      </c>
    </row>
    <row r="106" spans="2:2" x14ac:dyDescent="0.3">
      <c r="B106" t="s">
        <v>324</v>
      </c>
    </row>
    <row r="108" spans="2:2" x14ac:dyDescent="0.3">
      <c r="B108" t="s">
        <v>330</v>
      </c>
    </row>
    <row r="109" spans="2:2" x14ac:dyDescent="0.3">
      <c r="B109" t="s">
        <v>317</v>
      </c>
    </row>
    <row r="110" spans="2:2" x14ac:dyDescent="0.3">
      <c r="B110" t="s">
        <v>325</v>
      </c>
    </row>
    <row r="111" spans="2:2" x14ac:dyDescent="0.3">
      <c r="B111" t="s">
        <v>331</v>
      </c>
    </row>
    <row r="112" spans="2:2" x14ac:dyDescent="0.3">
      <c r="B112" t="s">
        <v>324</v>
      </c>
    </row>
    <row r="113" spans="2:2" x14ac:dyDescent="0.3">
      <c r="B113" t="s">
        <v>332</v>
      </c>
    </row>
    <row r="114" spans="2:2" x14ac:dyDescent="0.3">
      <c r="B114" t="s">
        <v>317</v>
      </c>
    </row>
    <row r="115" spans="2:2" x14ac:dyDescent="0.3">
      <c r="B115" t="s">
        <v>333</v>
      </c>
    </row>
    <row r="116" spans="2:2" x14ac:dyDescent="0.3">
      <c r="B116" t="s">
        <v>334</v>
      </c>
    </row>
    <row r="117" spans="2:2" x14ac:dyDescent="0.3">
      <c r="B117" t="s">
        <v>324</v>
      </c>
    </row>
    <row r="118" spans="2:2" x14ac:dyDescent="0.3">
      <c r="B118" t="s">
        <v>313</v>
      </c>
    </row>
    <row r="120" spans="2:2" x14ac:dyDescent="0.3">
      <c r="B120" t="s">
        <v>335</v>
      </c>
    </row>
    <row r="121" spans="2:2" x14ac:dyDescent="0.3">
      <c r="B121" t="s">
        <v>310</v>
      </c>
    </row>
    <row r="122" spans="2:2" x14ac:dyDescent="0.3">
      <c r="B122" t="s">
        <v>336</v>
      </c>
    </row>
    <row r="123" spans="2:2" x14ac:dyDescent="0.3">
      <c r="B123" t="s">
        <v>317</v>
      </c>
    </row>
    <row r="124" spans="2:2" x14ac:dyDescent="0.3">
      <c r="B124" t="s">
        <v>369</v>
      </c>
    </row>
    <row r="125" spans="2:2" x14ac:dyDescent="0.3">
      <c r="B125" t="s">
        <v>324</v>
      </c>
    </row>
    <row r="126" spans="2:2" x14ac:dyDescent="0.3">
      <c r="B126" t="s">
        <v>337</v>
      </c>
    </row>
    <row r="127" spans="2:2" x14ac:dyDescent="0.3">
      <c r="B127" t="s">
        <v>317</v>
      </c>
    </row>
    <row r="128" spans="2:2" x14ac:dyDescent="0.3">
      <c r="B128" t="s">
        <v>338</v>
      </c>
    </row>
    <row r="129" spans="2:2" x14ac:dyDescent="0.3">
      <c r="B129" t="s">
        <v>324</v>
      </c>
    </row>
    <row r="130" spans="2:2" x14ac:dyDescent="0.3">
      <c r="B130" t="s">
        <v>313</v>
      </c>
    </row>
    <row r="132" spans="2:2" x14ac:dyDescent="0.3">
      <c r="B132" t="s">
        <v>339</v>
      </c>
    </row>
    <row r="135" spans="2:2" x14ac:dyDescent="0.3">
      <c r="B135" t="s">
        <v>340</v>
      </c>
    </row>
    <row r="136" spans="2:2" x14ac:dyDescent="0.3">
      <c r="B136" t="s">
        <v>310</v>
      </c>
    </row>
    <row r="137" spans="2:2" x14ac:dyDescent="0.3">
      <c r="B137" t="s">
        <v>341</v>
      </c>
    </row>
    <row r="138" spans="2:2" x14ac:dyDescent="0.3">
      <c r="B138" t="s">
        <v>342</v>
      </c>
    </row>
    <row r="139" spans="2:2" x14ac:dyDescent="0.3">
      <c r="B139" t="s">
        <v>343</v>
      </c>
    </row>
    <row r="140" spans="2:2" x14ac:dyDescent="0.3">
      <c r="B140" t="s">
        <v>313</v>
      </c>
    </row>
    <row r="141" spans="2:2" x14ac:dyDescent="0.3">
      <c r="B141" t="s">
        <v>344</v>
      </c>
    </row>
  </sheetData>
  <mergeCells count="4">
    <mergeCell ref="Q1:Y2"/>
    <mergeCell ref="B52:J53"/>
    <mergeCell ref="B24:J25"/>
    <mergeCell ref="B1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Лр1</vt:lpstr>
      <vt:lpstr>Лр2</vt:lpstr>
      <vt:lpstr>Лр3</vt:lpstr>
      <vt:lpstr>Лр4.1</vt:lpstr>
      <vt:lpstr>Лр4.2</vt:lpstr>
      <vt:lpstr>Лр5.1</vt:lpstr>
      <vt:lpstr>Лр5.2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Антон Петренко</cp:lastModifiedBy>
  <dcterms:created xsi:type="dcterms:W3CDTF">2015-06-05T18:19:34Z</dcterms:created>
  <dcterms:modified xsi:type="dcterms:W3CDTF">2025-11-08T16:40:30Z</dcterms:modified>
</cp:coreProperties>
</file>